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villejo\Desktop\DTIG\saleabration\source files\inventories\round 2\"/>
    </mc:Choice>
  </mc:AlternateContent>
  <bookViews>
    <workbookView xWindow="18885" yWindow="4020" windowWidth="22995" windowHeight="19500" tabRatio="758" activeTab="1"/>
  </bookViews>
  <sheets>
    <sheet name="NOTE" sheetId="10" r:id="rId1"/>
    <sheet name="ADF PADC No Charge" sheetId="14" r:id="rId2"/>
    <sheet name="ADF ELM NO CHARGE" sheetId="17" r:id="rId3"/>
    <sheet name="ADF SC NO CHARGE" sheetId="16" r:id="rId4"/>
  </sheets>
  <externalReferences>
    <externalReference r:id="rId5"/>
  </externalReferences>
  <definedNames>
    <definedName name="_xlnm._FilterDatabase" localSheetId="2" hidden="1">'ADF ELM NO CHARGE'!$A$17:$WWB$21</definedName>
    <definedName name="_xlnm._FilterDatabase" localSheetId="1" hidden="1">'ADF PADC No Charge'!$A$17:$WWB$48</definedName>
    <definedName name="_xlnm._FilterDatabase" localSheetId="3" hidden="1">'ADF SC NO CHARGE'!$A$17:$WWB$18</definedName>
    <definedName name="Purp">[1]Sheet2!$C$1</definedName>
    <definedName name="Purpose">[1]Sheet2!$A$2:$A$11</definedName>
    <definedName name="Reason">[1]Sheet2!$C$2:$C$11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21" i="16" l="1"/>
  <c r="R20" i="16"/>
  <c r="R19" i="16"/>
  <c r="R18" i="16"/>
  <c r="N18" i="16"/>
  <c r="K18" i="16"/>
  <c r="D12" i="16"/>
  <c r="E11" i="16"/>
  <c r="R24" i="17"/>
  <c r="R23" i="17"/>
  <c r="R22" i="17"/>
  <c r="R21" i="17"/>
  <c r="N21" i="17"/>
  <c r="K21" i="17"/>
  <c r="R20" i="17"/>
  <c r="N20" i="17"/>
  <c r="K20" i="17"/>
  <c r="R19" i="17"/>
  <c r="N19" i="17"/>
  <c r="K19" i="17"/>
  <c r="R18" i="17"/>
  <c r="N18" i="17"/>
  <c r="K18" i="17"/>
  <c r="D12" i="17"/>
  <c r="E11" i="17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40" i="14"/>
  <c r="N41" i="14"/>
  <c r="N42" i="14"/>
  <c r="N43" i="14"/>
  <c r="N44" i="14"/>
  <c r="N45" i="14"/>
  <c r="N46" i="14"/>
  <c r="N47" i="14"/>
  <c r="N48" i="14"/>
  <c r="N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S39" i="14"/>
  <c r="N39" i="14"/>
  <c r="R40" i="14"/>
  <c r="R41" i="14"/>
  <c r="R42" i="14"/>
  <c r="R43" i="14"/>
  <c r="R44" i="14"/>
  <c r="R45" i="14"/>
  <c r="R46" i="14"/>
  <c r="R47" i="14"/>
  <c r="R48" i="14"/>
  <c r="R50" i="14"/>
  <c r="R18" i="14"/>
  <c r="K46" i="14"/>
  <c r="K47" i="14"/>
  <c r="K4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18" i="14"/>
  <c r="D12" i="14"/>
  <c r="E11" i="14"/>
</calcChain>
</file>

<file path=xl/comments1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comments2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comments3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sharedStrings.xml><?xml version="1.0" encoding="utf-8"?>
<sst xmlns="http://schemas.openxmlformats.org/spreadsheetml/2006/main" count="433" uniqueCount="171">
  <si>
    <t>Requestor:</t>
  </si>
  <si>
    <t>Ship To Information</t>
  </si>
  <si>
    <t>Name</t>
  </si>
  <si>
    <t>Business Purpose:</t>
  </si>
  <si>
    <t>Address:</t>
  </si>
  <si>
    <t>BCA Donation</t>
  </si>
  <si>
    <t>City, State, Zip:</t>
  </si>
  <si>
    <t>Approvals:</t>
  </si>
  <si>
    <t>SVP-Executive Mgmt.</t>
  </si>
  <si>
    <t>Phone Number</t>
  </si>
  <si>
    <t>VP - Finance</t>
  </si>
  <si>
    <t>Product</t>
  </si>
  <si>
    <t>Product Code</t>
  </si>
  <si>
    <t>Qty</t>
  </si>
  <si>
    <t>Total</t>
  </si>
  <si>
    <t>Brand</t>
  </si>
  <si>
    <t>Budget Code</t>
  </si>
  <si>
    <t>TB LR BATH &amp; SHOWER GEL</t>
  </si>
  <si>
    <t>BDW FRESH BLOSSOM SPRAY</t>
  </si>
  <si>
    <t>5JN2010000</t>
  </si>
  <si>
    <t>5KE2011000</t>
  </si>
  <si>
    <t>SKU ID</t>
  </si>
  <si>
    <t>SRP</t>
  </si>
  <si>
    <t>Sale Price</t>
  </si>
  <si>
    <r>
      <t xml:space="preserve">Unit Pack </t>
    </r>
    <r>
      <rPr>
        <b/>
        <sz val="10"/>
        <color rgb="FFFF0000"/>
        <rFont val="Calibri"/>
        <family val="2"/>
        <scheme val="minor"/>
      </rPr>
      <t>*</t>
    </r>
  </si>
  <si>
    <r>
      <rPr>
        <b/>
        <sz val="10"/>
        <color rgb="FFFF0000"/>
        <rFont val="Calibri"/>
        <family val="2"/>
        <scheme val="minor"/>
      </rPr>
      <t>*</t>
    </r>
    <r>
      <rPr>
        <b/>
        <sz val="10"/>
        <rFont val="Calibri"/>
        <family val="2"/>
        <scheme val="minor"/>
      </rPr>
      <t xml:space="preserve"> Please order in full unit pack</t>
    </r>
  </si>
  <si>
    <t>THE ESTEE LAUDER COMPANIES</t>
  </si>
  <si>
    <t>SALE-A-BRATION 2017 (NYC) - PRODUCT LIST</t>
  </si>
  <si>
    <t>Image Link</t>
  </si>
  <si>
    <t>Notes</t>
  </si>
  <si>
    <t>“Sale-a-Bration 2017” Att: Hanako Kawabata</t>
  </si>
  <si>
    <t>757 Fifth Ave, Floor TBC</t>
  </si>
  <si>
    <t>New York, NY, 10153</t>
  </si>
  <si>
    <t>TBC</t>
  </si>
  <si>
    <t>JULY</t>
  </si>
  <si>
    <t>AUGUST</t>
  </si>
  <si>
    <r>
      <rPr>
        <sz val="11"/>
        <color theme="1"/>
        <rFont val="Calibri"/>
        <family val="2"/>
      </rPr>
      <t xml:space="preserve">● </t>
    </r>
    <r>
      <rPr>
        <sz val="11"/>
        <color theme="1"/>
        <rFont val="Calibri"/>
        <family val="2"/>
        <scheme val="minor"/>
      </rPr>
      <t>Submit approved product order by brand to Global Corporate Citizenship and Sustainability (Hanako/ Clara) no later than 8/11</t>
    </r>
  </si>
  <si>
    <t>SEPTEMBER</t>
  </si>
  <si>
    <t>● Brands confirm final pricing to GCCS mid-September</t>
  </si>
  <si>
    <t>OCTOBER</t>
  </si>
  <si>
    <t>NOVEMBER</t>
  </si>
  <si>
    <t>●  Set up</t>
  </si>
  <si>
    <t>●  Sale</t>
  </si>
  <si>
    <r>
      <t xml:space="preserve">●  </t>
    </r>
    <r>
      <rPr>
        <sz val="11"/>
        <color theme="1"/>
        <rFont val="Calibri"/>
        <family val="2"/>
        <scheme val="minor"/>
      </rPr>
      <t>Redistribute left over products to corporate sales or nonprofits</t>
    </r>
  </si>
  <si>
    <r>
      <t xml:space="preserve">● </t>
    </r>
    <r>
      <rPr>
        <sz val="11"/>
        <color theme="1"/>
        <rFont val="Calibri"/>
        <family val="2"/>
        <scheme val="minor"/>
      </rPr>
      <t>Kickoff meeting with brand team &amp; GBSC leads</t>
    </r>
  </si>
  <si>
    <t>● Brands determine initial pricing and submit to GCCS</t>
  </si>
  <si>
    <t>● Michele and Brian to confirm product order and estimated product QTY which will be delivered</t>
  </si>
  <si>
    <t>TIMELINE - PRODUCTS</t>
  </si>
  <si>
    <t>NOTES: PRODUCT ORDER</t>
  </si>
  <si>
    <t>● Products that are not sourced from PADC can be stored at PALC. For storage, please follow the following:</t>
  </si>
  <si>
    <r>
      <rPr>
        <sz val="11"/>
        <rFont val="Calibri"/>
        <family val="2"/>
      </rPr>
      <t>*</t>
    </r>
    <r>
      <rPr>
        <sz val="11"/>
        <rFont val="Calibri"/>
        <family val="2"/>
        <scheme val="minor"/>
      </rPr>
      <t>Please only order products which are saleable in the US. This means any OTC products or claims must be approved for sale in the US.</t>
    </r>
  </si>
  <si>
    <r>
      <t>*Please make sure all orders are clearly labeled “</t>
    </r>
    <r>
      <rPr>
        <b/>
        <u/>
        <sz val="11"/>
        <rFont val="Calibri"/>
        <family val="2"/>
        <scheme val="minor"/>
      </rPr>
      <t>NYC</t>
    </r>
    <r>
      <rPr>
        <sz val="11"/>
        <rFont val="Calibri"/>
        <family val="2"/>
        <scheme val="minor"/>
      </rPr>
      <t xml:space="preserve"> Sale-A-Bration 2017”</t>
    </r>
  </si>
  <si>
    <r>
      <rPr>
        <i/>
        <sz val="11"/>
        <color rgb="FFFF0066"/>
        <rFont val="Calibri"/>
        <family val="2"/>
        <scheme val="minor"/>
      </rPr>
      <t xml:space="preserve">Sale-a-Bration 2017 </t>
    </r>
    <r>
      <rPr>
        <b/>
        <i/>
        <sz val="11"/>
        <color rgb="FFFF0066"/>
        <rFont val="Calibri"/>
        <family val="2"/>
        <scheme val="minor"/>
      </rPr>
      <t>NYC</t>
    </r>
  </si>
  <si>
    <t>Thank you for supporting and leading the Sale-a-Bration 2017 efforts on behalf of your brand. Please note the following:</t>
  </si>
  <si>
    <r>
      <rPr>
        <b/>
        <sz val="11"/>
        <color theme="1"/>
        <rFont val="Calibri"/>
        <family val="2"/>
        <scheme val="minor"/>
      </rPr>
      <t>Questions?</t>
    </r>
    <r>
      <rPr>
        <sz val="11"/>
        <color theme="1"/>
        <rFont val="Calibri"/>
        <family val="2"/>
        <scheme val="minor"/>
      </rPr>
      <t xml:space="preserve"> Please contact Hanako Kawabata or Clara Raugei with the Global Corporate Citizenship and Sustainability department. </t>
    </r>
  </si>
  <si>
    <t>SALE-A-BRATION 2017 NYC  -  PRODUCT LIST</t>
  </si>
  <si>
    <t>● GCCS will share a consolidated product list to Michele Defazio Doyle (PADC for sourcing) &amp; Brian Slattery (PALC for storage) by 8/18</t>
  </si>
  <si>
    <t>●  Products delivered to sale space (Saturday before Sale setup) from PADC or PALC</t>
  </si>
  <si>
    <t>Product Type 
(i.e. salable, wip, collateral)</t>
  </si>
  <si>
    <r>
      <t>● Brand team and GBSC lead agree on product selection. Obtain approval and place order</t>
    </r>
    <r>
      <rPr>
        <sz val="11"/>
        <color rgb="FFFF0000"/>
        <rFont val="Calibri"/>
        <family val="2"/>
        <scheme val="minor"/>
      </rPr>
      <t>*</t>
    </r>
  </si>
  <si>
    <r>
      <t xml:space="preserve">●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Once approved, submit no charge orders for salable products. No charge items that are not in correct status for ordering should be via a supply req. PADC and PALC will lead this portion for coordination. </t>
    </r>
  </si>
  <si>
    <t>Cost Center:</t>
  </si>
  <si>
    <t>4 digits</t>
  </si>
  <si>
    <t>6 digits</t>
  </si>
  <si>
    <t>10 digits</t>
  </si>
  <si>
    <t>7 digits</t>
  </si>
  <si>
    <t>Company Code:</t>
  </si>
  <si>
    <t>Profit Center:</t>
  </si>
  <si>
    <t>Sap Account #:</t>
  </si>
  <si>
    <t>Cost of Goods</t>
  </si>
  <si>
    <t>DC Location
(i.e. PADC, CADC etc)</t>
  </si>
  <si>
    <t>PADC</t>
  </si>
  <si>
    <t>C. Brady</t>
  </si>
  <si>
    <t>ELM</t>
  </si>
  <si>
    <t>DKNY WOMEN EDP SPRAY</t>
  </si>
  <si>
    <t>TH A/P DEODORANT STICK</t>
  </si>
  <si>
    <t>5KCW010000</t>
  </si>
  <si>
    <t>5H1W010000</t>
  </si>
  <si>
    <t>5KCY010000</t>
  </si>
  <si>
    <t>591Y010000</t>
  </si>
  <si>
    <t>5KCX010000</t>
  </si>
  <si>
    <t>5J5Y010000</t>
  </si>
  <si>
    <t>5GL7010000</t>
  </si>
  <si>
    <t>2HWL010000</t>
  </si>
  <si>
    <t>5JA6010000</t>
  </si>
  <si>
    <t>531R010000</t>
  </si>
  <si>
    <t>5JN8010000</t>
  </si>
  <si>
    <t>57AX010000</t>
  </si>
  <si>
    <t>5GYY010000</t>
  </si>
  <si>
    <t>80C7010000</t>
  </si>
  <si>
    <t>5NC5010000</t>
  </si>
  <si>
    <t>5FFM010000</t>
  </si>
  <si>
    <t>5NWL010000</t>
  </si>
  <si>
    <t>5HJ7010000</t>
  </si>
  <si>
    <t>55PT010000</t>
  </si>
  <si>
    <t>55PW010000</t>
  </si>
  <si>
    <t>2786020000</t>
  </si>
  <si>
    <t>51CC01S000</t>
  </si>
  <si>
    <t>29RK011000</t>
  </si>
  <si>
    <t>2G83010000</t>
  </si>
  <si>
    <t>5KYN011000</t>
  </si>
  <si>
    <t>5FWF010000</t>
  </si>
  <si>
    <t>EZ ESSENZE GOLD- AMBER G</t>
  </si>
  <si>
    <t>DKNY BE TEMPTED EDP</t>
  </si>
  <si>
    <t>EZ ESSENZE GOLD INCENSE</t>
  </si>
  <si>
    <t>EZ ESSENZE PERUVIAN AMBR</t>
  </si>
  <si>
    <t>EZ ESSENZE GOLD-MUSK GOL</t>
  </si>
  <si>
    <t>MKC SEXY SUNSET EDP</t>
  </si>
  <si>
    <t>MKW EDP SPRAY</t>
  </si>
  <si>
    <t>BDW CRYSTALIZED EDP</t>
  </si>
  <si>
    <t>ERMENEGILDO ZEGNA UOMO E</t>
  </si>
  <si>
    <t>TB LIMITED-EDITION RBALL</t>
  </si>
  <si>
    <t>BDW 50ML EDP WIP FOR POP</t>
  </si>
  <si>
    <t>MKC BRILLIANT GOLD EDP</t>
  </si>
  <si>
    <t>TH TROPICS</t>
  </si>
  <si>
    <t>TH SUMMER</t>
  </si>
  <si>
    <t>TG EDT</t>
  </si>
  <si>
    <t>MKC ROSE RADIANT ROLLERB</t>
  </si>
  <si>
    <t>DKNY MYNY EDP</t>
  </si>
  <si>
    <t>ZEGNA INTENSO EDT</t>
  </si>
  <si>
    <t>TOMMY 1.7OZ EDT SPRAY</t>
  </si>
  <si>
    <t>DEL NIGHT EDP SPRAY</t>
  </si>
  <si>
    <t>TB J FLEUR BTY ON THE FL</t>
  </si>
  <si>
    <t>DELICIOUS APPLE PICKING</t>
  </si>
  <si>
    <t>AR</t>
  </si>
  <si>
    <t>FG Saleable</t>
  </si>
  <si>
    <t>CP</t>
  </si>
  <si>
    <t>BAL</t>
  </si>
  <si>
    <t xml:space="preserve">BAL </t>
  </si>
  <si>
    <t>5JTTY60000</t>
  </si>
  <si>
    <t>5J0L500000</t>
  </si>
  <si>
    <t>55HJ500000</t>
  </si>
  <si>
    <t>55EH410000</t>
  </si>
  <si>
    <t>MKC 24 BRILLIANT GOLD HO</t>
  </si>
  <si>
    <t>FG Tester</t>
  </si>
  <si>
    <t>FG Sample</t>
  </si>
  <si>
    <t>Size ML</t>
  </si>
  <si>
    <t>200</t>
  </si>
  <si>
    <t>125</t>
  </si>
  <si>
    <t>100</t>
  </si>
  <si>
    <t>50</t>
  </si>
  <si>
    <t>30</t>
  </si>
  <si>
    <t>6</t>
  </si>
  <si>
    <t>10</t>
  </si>
  <si>
    <t>175</t>
  </si>
  <si>
    <t>7</t>
  </si>
  <si>
    <t>75</t>
  </si>
  <si>
    <t>5RG1010000</t>
  </si>
  <si>
    <t>5RG3010000</t>
  </si>
  <si>
    <t>5EWW010000</t>
  </si>
  <si>
    <t>5NPL011000</t>
  </si>
  <si>
    <t>DK LIQUID SEDUCTIVE LOTN</t>
  </si>
  <si>
    <t>CASHMERE MIST EDT WIP</t>
  </si>
  <si>
    <t>EZ ESSENZE SICILIAN MAND</t>
  </si>
  <si>
    <t>MK WONDERLUST BAG SET</t>
  </si>
  <si>
    <t>SADDLE CREEK 3PL</t>
  </si>
  <si>
    <t>MKC SEXY DELUXE MINI 7ml</t>
  </si>
  <si>
    <t>MKW TURQUOISE EDP TESTER 50ml</t>
  </si>
  <si>
    <t>MK INDULGENT BODY CRÈME 175ml</t>
  </si>
  <si>
    <t>CM EVERYTHING CASHMERE Set</t>
  </si>
  <si>
    <t>set</t>
  </si>
  <si>
    <t>70% OFF SRP</t>
  </si>
  <si>
    <t>70% DISCOUNT</t>
  </si>
  <si>
    <t xml:space="preserve">PADC  ATT: Michele Defazio Doyle </t>
  </si>
  <si>
    <t>Sale-a-Bration 2017 NYC</t>
  </si>
  <si>
    <t>Date:9/7/2017</t>
  </si>
  <si>
    <t>Date: 9/7/2017</t>
  </si>
  <si>
    <t xml:space="preserve">C. Brady </t>
  </si>
  <si>
    <t>250 Rittenhouse Circle</t>
  </si>
  <si>
    <t xml:space="preserve">Bristol, NY </t>
  </si>
  <si>
    <t>ATT: Brian Slattery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</si>
</sst>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/d/yy;@"/>
    <numFmt numFmtId="166" formatCode="&quot;$&quot;#,##0.00;\(&quot;$&quot;#,##0.00\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66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rgb="FFFF0066"/>
      <name val="Calibri"/>
      <family val="2"/>
      <scheme val="minor"/>
    </font>
    <font>
      <sz val="10"/>
      <color rgb="FFFF0066"/>
      <name val="Calibri"/>
      <family val="2"/>
      <scheme val="minor"/>
    </font>
    <font>
      <i/>
      <sz val="11"/>
      <color rgb="FFFF0066"/>
      <name val="Calibri"/>
      <family val="2"/>
      <scheme val="minor"/>
    </font>
    <font>
      <b/>
      <i/>
      <sz val="11"/>
      <color rgb="FFFF00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8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1"/>
      <name val="Tahoma"/>
      <family val="2"/>
    </font>
    <font>
      <i/>
      <u/>
      <sz val="11"/>
      <color theme="10"/>
      <name val="Calibri"/>
      <family val="2"/>
      <scheme val="minor"/>
    </font>
    <font>
      <sz val="8"/>
      <color indexed="8"/>
      <name val="Tahoma"/>
      <family val="2"/>
    </font>
    <font>
      <sz val="8"/>
      <name val="Tahoma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Tahoma"/>
      <family val="2"/>
    </font>
    <font>
      <i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" fontId="9" fillId="4" borderId="13" applyNumberFormat="0" applyProtection="0">
      <alignment horizontal="left" vertical="center" indent="1"/>
    </xf>
    <xf numFmtId="0" fontId="9" fillId="5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4" fontId="9" fillId="0" borderId="13" applyNumberFormat="0" applyProtection="0">
      <alignment horizontal="right" vertical="center"/>
    </xf>
    <xf numFmtId="4" fontId="9" fillId="4" borderId="13" applyNumberFormat="0" applyProtection="0">
      <alignment horizontal="left" vertical="center" indent="1"/>
    </xf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8" fillId="0" borderId="0" applyNumberFormat="0" applyFill="0" applyBorder="0" applyAlignment="0" applyProtection="0"/>
  </cellStyleXfs>
  <cellXfs count="174">
    <xf numFmtId="0" fontId="0" fillId="0" borderId="0" xfId="0"/>
    <xf numFmtId="0" fontId="5" fillId="0" borderId="10" xfId="0" applyFont="1" applyBorder="1" applyAlignment="1"/>
    <xf numFmtId="0" fontId="5" fillId="0" borderId="10" xfId="2" applyFont="1" applyFill="1" applyBorder="1" applyAlignment="1" applyProtection="1">
      <protection locked="0"/>
    </xf>
    <xf numFmtId="0" fontId="5" fillId="3" borderId="10" xfId="2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>
      <protection locked="0"/>
    </xf>
    <xf numFmtId="3" fontId="5" fillId="0" borderId="10" xfId="2" applyNumberFormat="1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/>
    <xf numFmtId="49" fontId="8" fillId="0" borderId="10" xfId="0" applyNumberFormat="1" applyFont="1" applyFill="1" applyBorder="1" applyAlignment="1"/>
    <xf numFmtId="3" fontId="8" fillId="0" borderId="10" xfId="0" applyNumberFormat="1" applyFont="1" applyFill="1" applyBorder="1" applyAlignment="1"/>
    <xf numFmtId="0" fontId="5" fillId="0" borderId="10" xfId="2" applyFont="1" applyBorder="1" applyAlignment="1"/>
    <xf numFmtId="3" fontId="5" fillId="0" borderId="10" xfId="0" applyNumberFormat="1" applyFont="1" applyFill="1" applyBorder="1" applyAlignment="1"/>
    <xf numFmtId="0" fontId="5" fillId="0" borderId="10" xfId="2" applyFont="1" applyBorder="1" applyAlignment="1" applyProtection="1">
      <protection locked="0"/>
    </xf>
    <xf numFmtId="3" fontId="5" fillId="0" borderId="10" xfId="0" applyNumberFormat="1" applyFont="1" applyBorder="1" applyAlignment="1"/>
    <xf numFmtId="164" fontId="5" fillId="0" borderId="10" xfId="2" applyNumberFormat="1" applyFont="1" applyBorder="1" applyAlignment="1"/>
    <xf numFmtId="164" fontId="5" fillId="0" borderId="10" xfId="1" applyNumberFormat="1" applyFont="1" applyBorder="1" applyAlignment="1"/>
    <xf numFmtId="164" fontId="8" fillId="0" borderId="10" xfId="0" applyNumberFormat="1" applyFont="1" applyFill="1" applyBorder="1" applyAlignment="1"/>
    <xf numFmtId="164" fontId="5" fillId="0" borderId="10" xfId="0" applyNumberFormat="1" applyFont="1" applyFill="1" applyBorder="1" applyAlignment="1"/>
    <xf numFmtId="0" fontId="5" fillId="0" borderId="10" xfId="2" applyFont="1" applyFill="1" applyBorder="1" applyAlignment="1" applyProtection="1">
      <alignment horizontal="left"/>
      <protection locked="0"/>
    </xf>
    <xf numFmtId="0" fontId="11" fillId="0" borderId="0" xfId="2" applyFont="1" applyBorder="1"/>
    <xf numFmtId="0" fontId="11" fillId="0" borderId="0" xfId="2" applyFont="1" applyBorder="1" applyAlignment="1">
      <alignment horizontal="center"/>
    </xf>
    <xf numFmtId="0" fontId="5" fillId="0" borderId="0" xfId="2" applyFont="1"/>
    <xf numFmtId="0" fontId="13" fillId="0" borderId="0" xfId="2" applyFont="1" applyBorder="1" applyAlignment="1" applyProtection="1">
      <alignment horizontal="left"/>
    </xf>
    <xf numFmtId="0" fontId="14" fillId="0" borderId="0" xfId="2" applyFont="1" applyBorder="1" applyAlignment="1" applyProtection="1">
      <alignment horizontal="left"/>
    </xf>
    <xf numFmtId="0" fontId="4" fillId="0" borderId="0" xfId="2" applyFont="1" applyBorder="1"/>
    <xf numFmtId="0" fontId="4" fillId="0" borderId="0" xfId="2" applyFont="1"/>
    <xf numFmtId="0" fontId="13" fillId="0" borderId="4" xfId="2" applyFont="1" applyBorder="1" applyAlignment="1" applyProtection="1">
      <alignment horizontal="left"/>
    </xf>
    <xf numFmtId="164" fontId="4" fillId="0" borderId="0" xfId="2" applyNumberFormat="1" applyFont="1" applyBorder="1" applyAlignment="1" applyProtection="1">
      <alignment horizontal="center"/>
    </xf>
    <xf numFmtId="14" fontId="13" fillId="0" borderId="0" xfId="2" applyNumberFormat="1" applyFont="1" applyBorder="1" applyAlignment="1" applyProtection="1">
      <alignment horizontal="left"/>
    </xf>
    <xf numFmtId="0" fontId="4" fillId="0" borderId="4" xfId="2" applyFont="1" applyBorder="1" applyAlignment="1" applyProtection="1">
      <alignment horizontal="right"/>
    </xf>
    <xf numFmtId="0" fontId="17" fillId="0" borderId="0" xfId="2" applyFont="1" applyFill="1" applyBorder="1" applyAlignment="1" applyProtection="1">
      <alignment horizontal="center"/>
      <protection locked="0"/>
    </xf>
    <xf numFmtId="0" fontId="19" fillId="0" borderId="0" xfId="2" applyFont="1" applyFill="1" applyBorder="1" applyAlignment="1" applyProtection="1">
      <alignment horizontal="center"/>
    </xf>
    <xf numFmtId="0" fontId="7" fillId="0" borderId="0" xfId="2" applyFont="1" applyFill="1" applyBorder="1" applyAlignment="1" applyProtection="1">
      <alignment horizontal="center"/>
    </xf>
    <xf numFmtId="0" fontId="7" fillId="0" borderId="0" xfId="2" applyFont="1" applyAlignment="1">
      <alignment horizontal="center" vertical="center" wrapText="1"/>
    </xf>
    <xf numFmtId="0" fontId="5" fillId="0" borderId="0" xfId="2" applyFont="1" applyFill="1"/>
    <xf numFmtId="0" fontId="5" fillId="0" borderId="0" xfId="2" applyFont="1" applyBorder="1"/>
    <xf numFmtId="0" fontId="5" fillId="0" borderId="11" xfId="2" applyFont="1" applyBorder="1"/>
    <xf numFmtId="0" fontId="5" fillId="0" borderId="0" xfId="2" applyFont="1" applyBorder="1" applyAlignment="1">
      <alignment horizontal="center"/>
    </xf>
    <xf numFmtId="0" fontId="12" fillId="0" borderId="0" xfId="2" applyFont="1" applyBorder="1"/>
    <xf numFmtId="164" fontId="5" fillId="0" borderId="0" xfId="2" applyNumberFormat="1" applyFont="1" applyFill="1" applyBorder="1" applyAlignment="1" applyProtection="1"/>
    <xf numFmtId="0" fontId="4" fillId="0" borderId="0" xfId="2" applyFont="1" applyBorder="1" applyAlignment="1" applyProtection="1">
      <alignment horizontal="right"/>
    </xf>
    <xf numFmtId="0" fontId="4" fillId="0" borderId="0" xfId="2" applyFont="1" applyBorder="1" applyAlignment="1" applyProtection="1">
      <alignment horizontal="right"/>
      <protection locked="0"/>
    </xf>
    <xf numFmtId="0" fontId="11" fillId="0" borderId="0" xfId="2" applyFont="1" applyFill="1" applyBorder="1"/>
    <xf numFmtId="0" fontId="12" fillId="0" borderId="0" xfId="2" applyFont="1" applyFill="1" applyBorder="1" applyAlignment="1" applyProtection="1">
      <alignment horizontal="left"/>
      <protection locked="0"/>
    </xf>
    <xf numFmtId="49" fontId="13" fillId="0" borderId="0" xfId="2" applyNumberFormat="1" applyFont="1" applyFill="1" applyBorder="1" applyAlignment="1" applyProtection="1">
      <alignment horizontal="center"/>
      <protection locked="0"/>
    </xf>
    <xf numFmtId="14" fontId="13" fillId="0" borderId="0" xfId="2" applyNumberFormat="1" applyFont="1" applyFill="1" applyBorder="1" applyAlignment="1" applyProtection="1">
      <alignment horizontal="left"/>
    </xf>
    <xf numFmtId="0" fontId="4" fillId="0" borderId="0" xfId="2" applyFont="1" applyFill="1" applyBorder="1" applyAlignment="1" applyProtection="1">
      <alignment horizontal="center"/>
      <protection locked="0"/>
    </xf>
    <xf numFmtId="0" fontId="5" fillId="0" borderId="0" xfId="2" applyFont="1" applyFill="1" applyBorder="1" applyProtection="1">
      <protection locked="0"/>
    </xf>
    <xf numFmtId="0" fontId="4" fillId="0" borderId="0" xfId="2" applyFont="1" applyFill="1" applyBorder="1" applyProtection="1"/>
    <xf numFmtId="0" fontId="4" fillId="0" borderId="0" xfId="2" applyFont="1" applyFill="1" applyBorder="1" applyAlignment="1" applyProtection="1">
      <alignment horizontal="center" vertical="center" wrapText="1"/>
    </xf>
    <xf numFmtId="164" fontId="5" fillId="0" borderId="0" xfId="2" applyNumberFormat="1" applyFont="1" applyFill="1" applyBorder="1" applyAlignment="1"/>
    <xf numFmtId="164" fontId="5" fillId="0" borderId="0" xfId="1" applyNumberFormat="1" applyFont="1" applyFill="1" applyBorder="1" applyAlignment="1"/>
    <xf numFmtId="0" fontId="4" fillId="0" borderId="4" xfId="2" applyFont="1" applyBorder="1" applyAlignment="1" applyProtection="1">
      <alignment horizontal="right" vertical="center"/>
    </xf>
    <xf numFmtId="165" fontId="4" fillId="2" borderId="0" xfId="2" applyNumberFormat="1" applyFont="1" applyFill="1" applyBorder="1" applyAlignment="1" applyProtection="1">
      <alignment horizontal="center"/>
      <protection locked="0"/>
    </xf>
    <xf numFmtId="49" fontId="4" fillId="2" borderId="0" xfId="2" applyNumberFormat="1" applyFont="1" applyFill="1" applyBorder="1" applyAlignment="1" applyProtection="1">
      <alignment horizontal="center"/>
      <protection locked="0"/>
    </xf>
    <xf numFmtId="0" fontId="4" fillId="0" borderId="0" xfId="2" applyFont="1" applyFill="1"/>
    <xf numFmtId="0" fontId="4" fillId="8" borderId="10" xfId="2" applyFont="1" applyFill="1" applyBorder="1" applyAlignment="1" applyProtection="1">
      <alignment horizontal="center" vertical="center" wrapText="1"/>
    </xf>
    <xf numFmtId="164" fontId="5" fillId="0" borderId="10" xfId="2" applyNumberFormat="1" applyFont="1" applyFill="1" applyBorder="1" applyAlignment="1"/>
    <xf numFmtId="164" fontId="5" fillId="0" borderId="10" xfId="1" applyNumberFormat="1" applyFont="1" applyFill="1" applyBorder="1" applyAlignment="1"/>
    <xf numFmtId="49" fontId="5" fillId="0" borderId="10" xfId="2" applyNumberFormat="1" applyFont="1" applyFill="1" applyBorder="1" applyAlignment="1"/>
    <xf numFmtId="0" fontId="18" fillId="0" borderId="0" xfId="2" applyFont="1" applyFill="1" applyBorder="1" applyAlignment="1" applyProtection="1">
      <alignment horizontal="left"/>
    </xf>
    <xf numFmtId="0" fontId="4" fillId="7" borderId="15" xfId="2" applyFont="1" applyFill="1" applyBorder="1" applyAlignment="1" applyProtection="1">
      <alignment horizontal="center" vertical="center" wrapText="1"/>
    </xf>
    <xf numFmtId="0" fontId="4" fillId="7" borderId="16" xfId="2" applyFont="1" applyFill="1" applyBorder="1" applyAlignment="1" applyProtection="1">
      <alignment horizontal="center" vertical="center" wrapText="1"/>
    </xf>
    <xf numFmtId="164" fontId="4" fillId="7" borderId="16" xfId="2" applyNumberFormat="1" applyFont="1" applyFill="1" applyBorder="1" applyAlignment="1" applyProtection="1">
      <alignment horizontal="center" vertical="center" wrapText="1"/>
    </xf>
    <xf numFmtId="0" fontId="4" fillId="7" borderId="17" xfId="2" applyFont="1" applyFill="1" applyBorder="1" applyAlignment="1" applyProtection="1">
      <alignment horizontal="center" vertical="center" wrapText="1"/>
    </xf>
    <xf numFmtId="0" fontId="5" fillId="0" borderId="18" xfId="2" applyFont="1" applyBorder="1" applyAlignment="1" applyProtection="1">
      <protection locked="0"/>
    </xf>
    <xf numFmtId="164" fontId="5" fillId="0" borderId="19" xfId="2" applyNumberFormat="1" applyFont="1" applyFill="1" applyBorder="1" applyAlignment="1" applyProtection="1"/>
    <xf numFmtId="164" fontId="5" fillId="0" borderId="19" xfId="2" applyNumberFormat="1" applyFont="1" applyBorder="1" applyAlignment="1"/>
    <xf numFmtId="0" fontId="5" fillId="0" borderId="18" xfId="2" applyFont="1" applyBorder="1" applyAlignment="1"/>
    <xf numFmtId="164" fontId="5" fillId="0" borderId="19" xfId="1" applyNumberFormat="1" applyFont="1" applyBorder="1" applyAlignment="1"/>
    <xf numFmtId="0" fontId="5" fillId="0" borderId="20" xfId="2" applyFont="1" applyBorder="1" applyAlignment="1"/>
    <xf numFmtId="0" fontId="5" fillId="0" borderId="21" xfId="2" applyFont="1" applyBorder="1" applyAlignment="1"/>
    <xf numFmtId="164" fontId="5" fillId="0" borderId="21" xfId="2" applyNumberFormat="1" applyFont="1" applyBorder="1" applyAlignment="1"/>
    <xf numFmtId="164" fontId="5" fillId="0" borderId="22" xfId="2" applyNumberFormat="1" applyFont="1" applyBorder="1" applyAlignment="1"/>
    <xf numFmtId="0" fontId="12" fillId="0" borderId="1" xfId="2" applyFont="1" applyBorder="1" applyAlignment="1" applyProtection="1">
      <alignment horizontal="left"/>
      <protection locked="0"/>
    </xf>
    <xf numFmtId="0" fontId="12" fillId="0" borderId="2" xfId="2" applyFont="1" applyBorder="1" applyAlignment="1" applyProtection="1">
      <alignment horizontal="left"/>
      <protection locked="0"/>
    </xf>
    <xf numFmtId="0" fontId="12" fillId="0" borderId="3" xfId="2" applyFont="1" applyBorder="1" applyAlignment="1" applyProtection="1">
      <alignment horizontal="left"/>
      <protection locked="0"/>
    </xf>
    <xf numFmtId="0" fontId="4" fillId="0" borderId="7" xfId="2" applyFont="1" applyFill="1" applyBorder="1" applyAlignment="1" applyProtection="1">
      <alignment horizontal="right" vertical="center"/>
    </xf>
    <xf numFmtId="0" fontId="7" fillId="0" borderId="12" xfId="0" applyFont="1" applyFill="1" applyBorder="1" applyAlignment="1">
      <alignment horizontal="left" vertical="center"/>
    </xf>
    <xf numFmtId="0" fontId="16" fillId="0" borderId="12" xfId="2" applyFont="1" applyFill="1" applyBorder="1" applyProtection="1">
      <protection locked="0"/>
    </xf>
    <xf numFmtId="0" fontId="17" fillId="0" borderId="12" xfId="2" applyFont="1" applyFill="1" applyBorder="1" applyAlignment="1" applyProtection="1">
      <alignment horizontal="center"/>
      <protection locked="0"/>
    </xf>
    <xf numFmtId="49" fontId="4" fillId="0" borderId="12" xfId="2" applyNumberFormat="1" applyFont="1" applyFill="1" applyBorder="1" applyAlignment="1" applyProtection="1">
      <alignment horizontal="center"/>
      <protection locked="0"/>
    </xf>
    <xf numFmtId="0" fontId="0" fillId="0" borderId="12" xfId="0" applyFill="1" applyBorder="1" applyAlignment="1">
      <alignment horizontal="center"/>
    </xf>
    <xf numFmtId="0" fontId="4" fillId="0" borderId="8" xfId="2" applyFont="1" applyFill="1" applyBorder="1" applyAlignment="1" applyProtection="1">
      <alignment horizontal="left"/>
      <protection locked="0"/>
    </xf>
    <xf numFmtId="0" fontId="22" fillId="0" borderId="0" xfId="0" applyFont="1" applyBorder="1" applyAlignment="1">
      <alignment horizontal="left" vertical="center"/>
    </xf>
    <xf numFmtId="0" fontId="10" fillId="0" borderId="0" xfId="0" applyFont="1"/>
    <xf numFmtId="0" fontId="23" fillId="0" borderId="0" xfId="0" applyFont="1"/>
    <xf numFmtId="0" fontId="24" fillId="0" borderId="0" xfId="0" applyFont="1"/>
    <xf numFmtId="0" fontId="7" fillId="0" borderId="0" xfId="0" applyFont="1" applyAlignment="1">
      <alignment horizontal="left" indent="1"/>
    </xf>
    <xf numFmtId="0" fontId="25" fillId="0" borderId="0" xfId="2" applyFont="1" applyBorder="1" applyAlignment="1" applyProtection="1">
      <alignment horizontal="left"/>
    </xf>
    <xf numFmtId="0" fontId="26" fillId="0" borderId="0" xfId="0" applyFont="1" applyBorder="1" applyAlignment="1">
      <alignment horizontal="left" vertical="center"/>
    </xf>
    <xf numFmtId="0" fontId="12" fillId="0" borderId="0" xfId="2" applyFont="1" applyBorder="1" applyAlignment="1" applyProtection="1">
      <alignment horizontal="left"/>
      <protection locked="0"/>
    </xf>
    <xf numFmtId="0" fontId="15" fillId="0" borderId="4" xfId="2" applyFont="1" applyBorder="1" applyAlignment="1" applyProtection="1">
      <alignment horizontal="center"/>
    </xf>
    <xf numFmtId="0" fontId="15" fillId="0" borderId="0" xfId="2" applyFont="1" applyBorder="1" applyAlignment="1" applyProtection="1">
      <alignment horizontal="center"/>
    </xf>
    <xf numFmtId="1" fontId="13" fillId="2" borderId="0" xfId="2" applyNumberFormat="1" applyFont="1" applyFill="1" applyBorder="1" applyAlignment="1" applyProtection="1">
      <alignment horizontal="center"/>
      <protection locked="0"/>
    </xf>
    <xf numFmtId="49" fontId="4" fillId="2" borderId="6" xfId="2" applyNumberFormat="1" applyFont="1" applyFill="1" applyBorder="1" applyAlignment="1" applyProtection="1">
      <alignment horizontal="center"/>
      <protection locked="0"/>
    </xf>
    <xf numFmtId="49" fontId="4" fillId="2" borderId="9" xfId="2" applyNumberFormat="1" applyFont="1" applyFill="1" applyBorder="1" applyAlignment="1" applyProtection="1">
      <alignment horizontal="center"/>
      <protection locked="0"/>
    </xf>
    <xf numFmtId="0" fontId="5" fillId="0" borderId="23" xfId="2" applyFont="1" applyBorder="1" applyAlignment="1"/>
    <xf numFmtId="0" fontId="5" fillId="0" borderId="5" xfId="2" applyFont="1" applyBorder="1"/>
    <xf numFmtId="0" fontId="4" fillId="0" borderId="0" xfId="2" applyFont="1" applyBorder="1" applyAlignment="1" applyProtection="1">
      <alignment horizontal="left"/>
      <protection locked="0"/>
    </xf>
    <xf numFmtId="1" fontId="30" fillId="2" borderId="0" xfId="2" applyNumberFormat="1" applyFont="1" applyFill="1" applyBorder="1" applyAlignment="1" applyProtection="1">
      <alignment horizontal="left"/>
      <protection locked="0"/>
    </xf>
    <xf numFmtId="49" fontId="14" fillId="0" borderId="0" xfId="2" applyNumberFormat="1" applyFont="1" applyFill="1" applyBorder="1" applyAlignment="1" applyProtection="1">
      <alignment horizontal="center"/>
      <protection locked="0"/>
    </xf>
    <xf numFmtId="14" fontId="14" fillId="0" borderId="0" xfId="2" applyNumberFormat="1" applyFont="1" applyFill="1" applyBorder="1" applyAlignment="1" applyProtection="1">
      <alignment horizontal="left"/>
    </xf>
    <xf numFmtId="0" fontId="5" fillId="0" borderId="0" xfId="2" applyFont="1" applyFill="1" applyBorder="1" applyAlignment="1" applyProtection="1">
      <alignment horizontal="center"/>
      <protection locked="0"/>
    </xf>
    <xf numFmtId="49" fontId="4" fillId="0" borderId="0" xfId="2" applyNumberFormat="1" applyFont="1" applyFill="1" applyBorder="1" applyAlignment="1" applyProtection="1">
      <alignment horizontal="right"/>
      <protection locked="0"/>
    </xf>
    <xf numFmtId="14" fontId="4" fillId="0" borderId="0" xfId="2" applyNumberFormat="1" applyFont="1" applyFill="1" applyBorder="1" applyAlignment="1" applyProtection="1">
      <alignment horizontal="right"/>
    </xf>
    <xf numFmtId="0" fontId="4" fillId="0" borderId="0" xfId="2" applyFont="1" applyFill="1" applyBorder="1" applyAlignment="1" applyProtection="1">
      <alignment horizontal="right"/>
      <protection locked="0"/>
    </xf>
    <xf numFmtId="0" fontId="4" fillId="0" borderId="0" xfId="2" applyFont="1" applyBorder="1" applyAlignment="1" applyProtection="1">
      <alignment horizontal="right" vertical="center"/>
    </xf>
    <xf numFmtId="0" fontId="4" fillId="0" borderId="12" xfId="2" applyFont="1" applyFill="1" applyBorder="1" applyAlignment="1" applyProtection="1">
      <alignment horizontal="right" vertical="center"/>
    </xf>
    <xf numFmtId="0" fontId="5" fillId="0" borderId="23" xfId="2" applyFont="1" applyBorder="1" applyAlignment="1" applyProtection="1">
      <protection locked="0"/>
    </xf>
    <xf numFmtId="0" fontId="5" fillId="0" borderId="24" xfId="2" applyFont="1" applyBorder="1" applyAlignment="1"/>
    <xf numFmtId="0" fontId="31" fillId="0" borderId="0" xfId="2" applyFont="1" applyBorder="1"/>
    <xf numFmtId="0" fontId="31" fillId="0" borderId="0" xfId="2" applyFont="1" applyBorder="1" applyAlignment="1" applyProtection="1">
      <alignment horizontal="left"/>
      <protection locked="0"/>
    </xf>
    <xf numFmtId="0" fontId="31" fillId="0" borderId="10" xfId="2" applyFont="1" applyBorder="1" applyAlignment="1" applyProtection="1">
      <protection locked="0"/>
    </xf>
    <xf numFmtId="0" fontId="31" fillId="0" borderId="10" xfId="2" applyFont="1" applyFill="1" applyBorder="1" applyAlignment="1" applyProtection="1">
      <protection locked="0"/>
    </xf>
    <xf numFmtId="164" fontId="31" fillId="0" borderId="10" xfId="2" applyNumberFormat="1" applyFont="1" applyFill="1" applyBorder="1" applyAlignment="1" applyProtection="1">
      <alignment wrapText="1"/>
    </xf>
    <xf numFmtId="164" fontId="31" fillId="0" borderId="10" xfId="2" applyNumberFormat="1" applyFont="1" applyFill="1" applyBorder="1" applyAlignment="1" applyProtection="1"/>
    <xf numFmtId="0" fontId="31" fillId="0" borderId="0" xfId="2" applyFont="1" applyFill="1"/>
    <xf numFmtId="0" fontId="4" fillId="0" borderId="0" xfId="2" applyFont="1" applyFill="1" applyBorder="1" applyAlignment="1" applyProtection="1">
      <alignment horizontal="left"/>
      <protection locked="0"/>
    </xf>
    <xf numFmtId="0" fontId="31" fillId="0" borderId="10" xfId="2" applyFont="1" applyFill="1" applyBorder="1" applyAlignment="1"/>
    <xf numFmtId="49" fontId="34" fillId="0" borderId="10" xfId="0" applyNumberFormat="1" applyFont="1" applyFill="1" applyBorder="1"/>
    <xf numFmtId="49" fontId="34" fillId="0" borderId="10" xfId="0" applyNumberFormat="1" applyFont="1" applyFill="1" applyBorder="1" applyAlignment="1">
      <alignment wrapText="1"/>
    </xf>
    <xf numFmtId="166" fontId="34" fillId="0" borderId="10" xfId="0" applyNumberFormat="1" applyFont="1" applyFill="1" applyBorder="1" applyAlignment="1">
      <alignment wrapText="1"/>
    </xf>
    <xf numFmtId="0" fontId="35" fillId="0" borderId="10" xfId="0" applyFont="1" applyFill="1" applyBorder="1"/>
    <xf numFmtId="0" fontId="35" fillId="0" borderId="10" xfId="0" applyFont="1" applyFill="1" applyBorder="1" applyAlignment="1">
      <alignment wrapText="1"/>
    </xf>
    <xf numFmtId="0" fontId="31" fillId="0" borderId="23" xfId="2" applyFont="1" applyFill="1" applyBorder="1" applyAlignment="1" applyProtection="1">
      <protection locked="0"/>
    </xf>
    <xf numFmtId="0" fontId="34" fillId="0" borderId="25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5" fillId="0" borderId="26" xfId="2" applyFont="1" applyFill="1" applyBorder="1" applyAlignment="1" applyProtection="1">
      <protection locked="0"/>
    </xf>
    <xf numFmtId="49" fontId="34" fillId="0" borderId="27" xfId="0" applyNumberFormat="1" applyFont="1" applyFill="1" applyBorder="1" applyAlignment="1">
      <alignment wrapText="1"/>
    </xf>
    <xf numFmtId="0" fontId="5" fillId="0" borderId="27" xfId="2" applyFont="1" applyFill="1" applyBorder="1" applyAlignment="1" applyProtection="1">
      <protection locked="0"/>
    </xf>
    <xf numFmtId="0" fontId="35" fillId="0" borderId="27" xfId="0" applyFont="1" applyFill="1" applyBorder="1"/>
    <xf numFmtId="164" fontId="5" fillId="0" borderId="27" xfId="2" applyNumberFormat="1" applyFont="1" applyFill="1" applyBorder="1" applyAlignment="1" applyProtection="1"/>
    <xf numFmtId="49" fontId="34" fillId="0" borderId="0" xfId="0" applyNumberFormat="1" applyFont="1" applyFill="1" applyBorder="1"/>
    <xf numFmtId="49" fontId="34" fillId="0" borderId="0" xfId="0" applyNumberFormat="1" applyFont="1" applyFill="1" applyBorder="1" applyAlignment="1">
      <alignment wrapText="1"/>
    </xf>
    <xf numFmtId="0" fontId="34" fillId="0" borderId="0" xfId="0" applyFont="1" applyFill="1" applyBorder="1" applyAlignment="1">
      <alignment wrapText="1"/>
    </xf>
    <xf numFmtId="0" fontId="37" fillId="0" borderId="0" xfId="0" applyFont="1"/>
    <xf numFmtId="49" fontId="34" fillId="0" borderId="25" xfId="0" applyNumberFormat="1" applyFont="1" applyFill="1" applyBorder="1"/>
    <xf numFmtId="166" fontId="34" fillId="0" borderId="25" xfId="0" applyNumberFormat="1" applyFont="1" applyFill="1" applyBorder="1" applyAlignment="1">
      <alignment wrapText="1"/>
    </xf>
    <xf numFmtId="0" fontId="35" fillId="0" borderId="25" xfId="0" applyFont="1" applyFill="1" applyBorder="1"/>
    <xf numFmtId="49" fontId="35" fillId="0" borderId="25" xfId="0" applyNumberFormat="1" applyFont="1" applyFill="1" applyBorder="1"/>
    <xf numFmtId="49" fontId="35" fillId="0" borderId="25" xfId="0" applyNumberFormat="1" applyFont="1" applyFill="1" applyBorder="1" applyAlignment="1">
      <alignment wrapText="1"/>
    </xf>
    <xf numFmtId="166" fontId="35" fillId="0" borderId="10" xfId="0" applyNumberFormat="1" applyFont="1" applyFill="1" applyBorder="1" applyAlignment="1">
      <alignment wrapText="1"/>
    </xf>
    <xf numFmtId="49" fontId="38" fillId="0" borderId="25" xfId="0" applyNumberFormat="1" applyFont="1" applyFill="1" applyBorder="1"/>
    <xf numFmtId="164" fontId="31" fillId="0" borderId="0" xfId="2" applyNumberFormat="1" applyFont="1" applyFill="1"/>
    <xf numFmtId="164" fontId="39" fillId="0" borderId="0" xfId="2" applyNumberFormat="1" applyFont="1" applyFill="1"/>
    <xf numFmtId="164" fontId="5" fillId="0" borderId="0" xfId="2" applyNumberFormat="1" applyFont="1"/>
    <xf numFmtId="0" fontId="40" fillId="9" borderId="0" xfId="2" applyFont="1" applyFill="1" applyAlignment="1">
      <alignment horizontal="center" vertical="center" wrapText="1"/>
    </xf>
    <xf numFmtId="164" fontId="7" fillId="0" borderId="10" xfId="18" applyNumberFormat="1" applyFont="1" applyFill="1" applyBorder="1" applyAlignment="1" applyProtection="1"/>
    <xf numFmtId="0" fontId="23" fillId="0" borderId="0" xfId="0" applyFont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31" fillId="9" borderId="10" xfId="2" applyFont="1" applyFill="1" applyBorder="1" applyAlignment="1" applyProtection="1">
      <protection locked="0"/>
    </xf>
    <xf numFmtId="49" fontId="34" fillId="9" borderId="10" xfId="0" applyNumberFormat="1" applyFont="1" applyFill="1" applyBorder="1"/>
    <xf numFmtId="49" fontId="34" fillId="9" borderId="10" xfId="0" applyNumberFormat="1" applyFont="1" applyFill="1" applyBorder="1" applyAlignment="1">
      <alignment wrapText="1"/>
    </xf>
    <xf numFmtId="0" fontId="31" fillId="9" borderId="10" xfId="2" applyFont="1" applyFill="1" applyBorder="1" applyAlignment="1"/>
    <xf numFmtId="166" fontId="34" fillId="9" borderId="10" xfId="0" applyNumberFormat="1" applyFont="1" applyFill="1" applyBorder="1" applyAlignment="1">
      <alignment wrapText="1"/>
    </xf>
    <xf numFmtId="0" fontId="35" fillId="9" borderId="10" xfId="0" applyFont="1" applyFill="1" applyBorder="1"/>
    <xf numFmtId="164" fontId="31" fillId="9" borderId="10" xfId="2" applyNumberFormat="1" applyFont="1" applyFill="1" applyBorder="1" applyAlignment="1" applyProtection="1"/>
    <xf numFmtId="164" fontId="31" fillId="9" borderId="0" xfId="2" applyNumberFormat="1" applyFont="1" applyFill="1" applyBorder="1" applyAlignment="1" applyProtection="1"/>
    <xf numFmtId="164" fontId="31" fillId="9" borderId="10" xfId="2" applyNumberFormat="1" applyFont="1" applyFill="1" applyBorder="1" applyAlignment="1" applyProtection="1">
      <alignment wrapText="1"/>
    </xf>
    <xf numFmtId="164" fontId="33" fillId="9" borderId="10" xfId="18" applyNumberFormat="1" applyFont="1" applyFill="1" applyBorder="1" applyAlignment="1" applyProtection="1"/>
    <xf numFmtId="0" fontId="31" fillId="9" borderId="0" xfId="2" applyFont="1" applyFill="1"/>
    <xf numFmtId="164" fontId="31" fillId="9" borderId="0" xfId="2" applyNumberFormat="1" applyFont="1" applyFill="1"/>
    <xf numFmtId="164" fontId="31" fillId="9" borderId="0" xfId="2" applyNumberFormat="1" applyFont="1" applyFill="1" applyBorder="1" applyAlignment="1"/>
    <xf numFmtId="164" fontId="31" fillId="9" borderId="10" xfId="2" applyNumberFormat="1" applyFont="1" applyFill="1" applyBorder="1" applyAlignment="1"/>
    <xf numFmtId="0" fontId="5" fillId="9" borderId="10" xfId="2" applyFont="1" applyFill="1" applyBorder="1" applyAlignment="1" applyProtection="1">
      <protection locked="0"/>
    </xf>
    <xf numFmtId="164" fontId="5" fillId="9" borderId="0" xfId="2" applyNumberFormat="1" applyFont="1" applyFill="1" applyBorder="1" applyAlignment="1" applyProtection="1"/>
    <xf numFmtId="164" fontId="5" fillId="9" borderId="10" xfId="2" applyNumberFormat="1" applyFont="1" applyFill="1" applyBorder="1" applyAlignment="1" applyProtection="1"/>
    <xf numFmtId="0" fontId="5" fillId="9" borderId="0" xfId="2" applyFont="1" applyFill="1"/>
    <xf numFmtId="0" fontId="4" fillId="0" borderId="12" xfId="2" applyFont="1" applyFill="1" applyBorder="1" applyAlignment="1" applyProtection="1">
      <alignment horizontal="left"/>
      <protection locked="0"/>
    </xf>
    <xf numFmtId="0" fontId="0" fillId="0" borderId="12" xfId="0" applyBorder="1" applyAlignment="1"/>
    <xf numFmtId="0" fontId="35" fillId="9" borderId="10" xfId="0" applyFont="1" applyFill="1" applyBorder="1" applyAlignment="1">
      <alignment wrapText="1"/>
    </xf>
    <xf numFmtId="164" fontId="39" fillId="9" borderId="0" xfId="2" applyNumberFormat="1" applyFont="1" applyFill="1"/>
    <xf numFmtId="164" fontId="36" fillId="9" borderId="10" xfId="2" applyNumberFormat="1" applyFont="1" applyFill="1" applyBorder="1" applyAlignment="1" applyProtection="1"/>
    <xf numFmtId="49" fontId="34" fillId="9" borderId="25" xfId="0" applyNumberFormat="1" applyFont="1" applyFill="1" applyBorder="1" applyAlignment="1">
      <alignment wrapText="1"/>
    </xf>
  </cellXfs>
  <cellStyles count="19">
    <cellStyle name="Comma 2" xfId="5"/>
    <cellStyle name="Comma 2 2" xfId="15"/>
    <cellStyle name="Currency" xfId="1" builtinId="4"/>
    <cellStyle name="Currency 2" xfId="13"/>
    <cellStyle name="Hyperlink" xfId="18" builtinId="8"/>
    <cellStyle name="Normal" xfId="0" builtinId="0"/>
    <cellStyle name="Normal 2" xfId="3"/>
    <cellStyle name="Normal 3" xfId="4"/>
    <cellStyle name="Normal 3 2" xfId="14"/>
    <cellStyle name="Normal 4" xfId="12"/>
    <cellStyle name="Normal 4 2" xfId="16"/>
    <cellStyle name="Normal 5" xfId="2"/>
    <cellStyle name="Normal 5 2" xfId="17"/>
    <cellStyle name="Normal 7" xfId="11"/>
    <cellStyle name="SAPBEXchaText" xfId="6"/>
    <cellStyle name="SAPBEXHLevel0X" xfId="7"/>
    <cellStyle name="SAPBEXHLevel1X" xfId="8"/>
    <cellStyle name="SAPBEXstdData" xfId="9"/>
    <cellStyle name="SAPBEXstdItem" xfId="10"/>
  </cellStyles>
  <dxfs count="6"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usiness_Unit\EL%20GBSC\INVENTORY\Donations\bca\2016\EL%209-8%20BCA%202016%20Order%20E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C Order Form "/>
      <sheetName val="saddle creek Order Form"/>
      <sheetName val="cadc Order Form "/>
      <sheetName val="details"/>
      <sheetName val="padc gwp excess 2-3"/>
      <sheetName val="padc GIS excess 2-9"/>
      <sheetName val="Sheet2"/>
      <sheetName val="Sheet1"/>
      <sheetName val="EL 9-8 BCA 2016 Order EE"/>
    </sheetNames>
    <definedNames>
      <definedName name="InsertR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C1">
            <v>10</v>
          </cell>
        </row>
        <row r="2">
          <cell r="A2" t="str">
            <v>Charitable Event</v>
          </cell>
          <cell r="C2" t="str">
            <v>Name of Charity:</v>
          </cell>
        </row>
        <row r="3">
          <cell r="A3" t="str">
            <v>Consumer Sampling</v>
          </cell>
        </row>
        <row r="4">
          <cell r="A4" t="str">
            <v>Editor Review</v>
          </cell>
        </row>
        <row r="5">
          <cell r="A5" t="str">
            <v>Gift</v>
          </cell>
          <cell r="C5" t="str">
            <v>For Who:</v>
          </cell>
        </row>
        <row r="6">
          <cell r="A6" t="str">
            <v>Launch Event</v>
          </cell>
        </row>
        <row r="7">
          <cell r="A7" t="str">
            <v>Product Closet</v>
          </cell>
        </row>
        <row r="8">
          <cell r="A8" t="str">
            <v>Product Evaluation</v>
          </cell>
        </row>
        <row r="9">
          <cell r="A9" t="str">
            <v>Training/Education</v>
          </cell>
        </row>
        <row r="10">
          <cell r="A10" t="str">
            <v>Vendor Portfolio</v>
          </cell>
          <cell r="C10" t="str">
            <v>Name of Vendor:</v>
          </cell>
        </row>
        <row r="11">
          <cell r="A11" t="str">
            <v>Other</v>
          </cell>
          <cell r="C11" t="str">
            <v>Explanation: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17" sqref="J17"/>
    </sheetView>
  </sheetViews>
  <sheetFormatPr defaultColWidth="8.85546875" defaultRowHeight="15" x14ac:dyDescent="0.25"/>
  <cols>
    <col min="1" max="1" width="4.42578125" customWidth="1"/>
    <col min="2" max="2" width="5.42578125" customWidth="1"/>
  </cols>
  <sheetData>
    <row r="1" spans="1:3" ht="18.75" x14ac:dyDescent="0.3">
      <c r="A1" s="37" t="s">
        <v>26</v>
      </c>
    </row>
    <row r="2" spans="1:3" ht="18.75" x14ac:dyDescent="0.3">
      <c r="A2" s="37" t="s">
        <v>55</v>
      </c>
    </row>
    <row r="4" spans="1:3" x14ac:dyDescent="0.25">
      <c r="B4" s="85" t="s">
        <v>53</v>
      </c>
    </row>
    <row r="5" spans="1:3" x14ac:dyDescent="0.25">
      <c r="B5" t="s">
        <v>54</v>
      </c>
    </row>
    <row r="8" spans="1:3" x14ac:dyDescent="0.25">
      <c r="B8" s="86" t="s">
        <v>47</v>
      </c>
    </row>
    <row r="9" spans="1:3" x14ac:dyDescent="0.25">
      <c r="B9" s="84" t="s">
        <v>34</v>
      </c>
    </row>
    <row r="10" spans="1:3" x14ac:dyDescent="0.25">
      <c r="C10" t="s">
        <v>44</v>
      </c>
    </row>
    <row r="11" spans="1:3" x14ac:dyDescent="0.25">
      <c r="C11" t="s">
        <v>59</v>
      </c>
    </row>
    <row r="12" spans="1:3" x14ac:dyDescent="0.25">
      <c r="B12" s="84" t="s">
        <v>35</v>
      </c>
    </row>
    <row r="13" spans="1:3" x14ac:dyDescent="0.25">
      <c r="C13" t="s">
        <v>36</v>
      </c>
    </row>
    <row r="14" spans="1:3" x14ac:dyDescent="0.25">
      <c r="C14" t="s">
        <v>56</v>
      </c>
    </row>
    <row r="15" spans="1:3" x14ac:dyDescent="0.25">
      <c r="C15" t="s">
        <v>60</v>
      </c>
    </row>
    <row r="16" spans="1:3" x14ac:dyDescent="0.25">
      <c r="C16" t="s">
        <v>45</v>
      </c>
    </row>
    <row r="17" spans="2:3" x14ac:dyDescent="0.25">
      <c r="B17" s="84" t="s">
        <v>37</v>
      </c>
    </row>
    <row r="18" spans="2:3" x14ac:dyDescent="0.25">
      <c r="C18" t="s">
        <v>46</v>
      </c>
    </row>
    <row r="19" spans="2:3" x14ac:dyDescent="0.25">
      <c r="C19" t="s">
        <v>38</v>
      </c>
    </row>
    <row r="20" spans="2:3" x14ac:dyDescent="0.25">
      <c r="B20" s="84" t="s">
        <v>39</v>
      </c>
    </row>
    <row r="21" spans="2:3" x14ac:dyDescent="0.25">
      <c r="C21" t="s">
        <v>57</v>
      </c>
    </row>
    <row r="22" spans="2:3" x14ac:dyDescent="0.25">
      <c r="B22" s="84" t="s">
        <v>40</v>
      </c>
    </row>
    <row r="23" spans="2:3" x14ac:dyDescent="0.25">
      <c r="C23" t="s">
        <v>41</v>
      </c>
    </row>
    <row r="24" spans="2:3" x14ac:dyDescent="0.25">
      <c r="C24" t="s">
        <v>42</v>
      </c>
    </row>
    <row r="25" spans="2:3" x14ac:dyDescent="0.25">
      <c r="C25" t="s">
        <v>43</v>
      </c>
    </row>
    <row r="28" spans="2:3" x14ac:dyDescent="0.25">
      <c r="B28" s="86" t="s">
        <v>48</v>
      </c>
    </row>
    <row r="29" spans="2:3" x14ac:dyDescent="0.25">
      <c r="C29" t="s">
        <v>49</v>
      </c>
    </row>
    <row r="30" spans="2:3" x14ac:dyDescent="0.25">
      <c r="C30" s="87" t="s">
        <v>50</v>
      </c>
    </row>
    <row r="31" spans="2:3" x14ac:dyDescent="0.25">
      <c r="C31" s="8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42"/>
  <sheetViews>
    <sheetView tabSelected="1" topLeftCell="A36" workbookViewId="0">
      <selection activeCell="C38" sqref="C38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42578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42578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42578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42578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42578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42578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42578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42578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42578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42578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42578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42578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42578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42578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42578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42578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42578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42578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42578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42578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42578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42578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42578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42578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42578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42578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42578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42578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42578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42578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42578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42578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42578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42578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42578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42578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42578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42578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42578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42578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42578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42578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42578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42578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42578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42578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42578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42578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42578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42578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42578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42578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42578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42578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42578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42578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42578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42578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42578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42578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42578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42578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42578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72</v>
      </c>
      <c r="D4" s="22"/>
      <c r="E4" s="22"/>
      <c r="F4" s="22"/>
      <c r="G4" s="23" t="s">
        <v>165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49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49" t="s">
        <v>163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49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49"/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49"/>
      <c r="D10" s="36"/>
      <c r="G10" s="20"/>
      <c r="I10" s="98"/>
      <c r="J10" s="97"/>
      <c r="L10" s="117"/>
      <c r="M10" s="117"/>
      <c r="N10" s="117"/>
      <c r="O10" s="117"/>
      <c r="P10" s="117"/>
      <c r="Q10" s="24"/>
    </row>
    <row r="11" spans="1:17" ht="15" x14ac:dyDescent="0.2">
      <c r="A11" s="51" t="s">
        <v>9</v>
      </c>
      <c r="B11" s="83" t="s">
        <v>33</v>
      </c>
      <c r="C11" s="34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17"/>
      <c r="M11" s="117"/>
      <c r="N11" s="117"/>
      <c r="O11" s="117"/>
      <c r="P11" s="117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17"/>
      <c r="M12" s="117"/>
      <c r="N12" s="117"/>
      <c r="O12" s="117"/>
      <c r="P12" s="117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68" t="s">
        <v>25</v>
      </c>
      <c r="I16" s="168"/>
      <c r="J16" s="169"/>
      <c r="K16" s="169"/>
      <c r="L16" s="47"/>
      <c r="M16" s="47"/>
      <c r="N16" s="47"/>
      <c r="O16" s="47"/>
      <c r="P16" s="47"/>
      <c r="Q16" s="24"/>
    </row>
    <row r="17" spans="1:19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46" t="s">
        <v>161</v>
      </c>
    </row>
    <row r="18" spans="1:19" s="160" customFormat="1" ht="15.75" customHeight="1" x14ac:dyDescent="0.25">
      <c r="A18" s="150" t="s">
        <v>124</v>
      </c>
      <c r="B18" s="150"/>
      <c r="C18" s="151" t="s">
        <v>17</v>
      </c>
      <c r="D18" s="152" t="s">
        <v>125</v>
      </c>
      <c r="E18" s="151" t="s">
        <v>19</v>
      </c>
      <c r="F18" s="150"/>
      <c r="G18" s="150" t="s">
        <v>71</v>
      </c>
      <c r="H18" s="153">
        <v>1</v>
      </c>
      <c r="I18" s="154">
        <v>4.0601000000000003</v>
      </c>
      <c r="J18" s="155">
        <v>522</v>
      </c>
      <c r="K18" s="156">
        <f>J18*I18</f>
        <v>2119.3722000000002</v>
      </c>
      <c r="L18" s="157"/>
      <c r="M18" s="158">
        <v>40</v>
      </c>
      <c r="N18" s="156">
        <f>S18</f>
        <v>10</v>
      </c>
      <c r="O18" s="159"/>
      <c r="P18" s="155" t="s">
        <v>126</v>
      </c>
      <c r="Q18" s="160" t="s">
        <v>137</v>
      </c>
      <c r="R18" s="161">
        <f>M18*0.7</f>
        <v>28</v>
      </c>
      <c r="S18" s="161">
        <v>10</v>
      </c>
    </row>
    <row r="19" spans="1:19" s="160" customFormat="1" ht="12.75" customHeight="1" x14ac:dyDescent="0.2">
      <c r="A19" s="150" t="s">
        <v>124</v>
      </c>
      <c r="B19" s="150"/>
      <c r="C19" s="151" t="s">
        <v>102</v>
      </c>
      <c r="D19" s="152" t="s">
        <v>125</v>
      </c>
      <c r="E19" s="151" t="s">
        <v>76</v>
      </c>
      <c r="F19" s="150"/>
      <c r="G19" s="150" t="s">
        <v>71</v>
      </c>
      <c r="H19" s="153"/>
      <c r="I19" s="154">
        <v>17.809699999999999</v>
      </c>
      <c r="J19" s="155">
        <v>113</v>
      </c>
      <c r="K19" s="156">
        <f t="shared" ref="K19:K45" si="0">J19*I19</f>
        <v>2012.4960999999998</v>
      </c>
      <c r="L19" s="162"/>
      <c r="M19" s="158">
        <v>205</v>
      </c>
      <c r="N19" s="156">
        <f t="shared" ref="N19:N45" si="1">S19</f>
        <v>30</v>
      </c>
      <c r="O19" s="163"/>
      <c r="P19" s="155" t="s">
        <v>127</v>
      </c>
      <c r="Q19" s="160" t="s">
        <v>138</v>
      </c>
      <c r="R19" s="161">
        <f t="shared" ref="R19:R45" si="2">M19*0.7</f>
        <v>143.5</v>
      </c>
      <c r="S19" s="161">
        <v>30</v>
      </c>
    </row>
    <row r="20" spans="1:19" s="167" customFormat="1" ht="12.75" customHeight="1" x14ac:dyDescent="0.2">
      <c r="A20" s="150" t="s">
        <v>124</v>
      </c>
      <c r="B20" s="164"/>
      <c r="C20" s="151" t="s">
        <v>103</v>
      </c>
      <c r="D20" s="152" t="s">
        <v>125</v>
      </c>
      <c r="E20" s="151" t="s">
        <v>77</v>
      </c>
      <c r="F20" s="164"/>
      <c r="G20" s="150" t="s">
        <v>71</v>
      </c>
      <c r="H20" s="164"/>
      <c r="I20" s="154">
        <v>7.6337000000000002</v>
      </c>
      <c r="J20" s="155">
        <v>144</v>
      </c>
      <c r="K20" s="156">
        <f t="shared" si="0"/>
        <v>1099.2528</v>
      </c>
      <c r="L20" s="165"/>
      <c r="M20" s="158">
        <v>90</v>
      </c>
      <c r="N20" s="156">
        <f t="shared" si="1"/>
        <v>20</v>
      </c>
      <c r="O20" s="166"/>
      <c r="P20" s="155" t="s">
        <v>128</v>
      </c>
      <c r="Q20" s="160" t="s">
        <v>139</v>
      </c>
      <c r="R20" s="161">
        <f t="shared" si="2"/>
        <v>62.999999999999993</v>
      </c>
      <c r="S20" s="161">
        <v>20</v>
      </c>
    </row>
    <row r="21" spans="1:19" s="167" customFormat="1" x14ac:dyDescent="0.2">
      <c r="A21" s="150" t="s">
        <v>124</v>
      </c>
      <c r="B21" s="164"/>
      <c r="C21" s="151" t="s">
        <v>104</v>
      </c>
      <c r="D21" s="152" t="s">
        <v>125</v>
      </c>
      <c r="E21" s="151" t="s">
        <v>78</v>
      </c>
      <c r="F21" s="164"/>
      <c r="G21" s="150" t="s">
        <v>71</v>
      </c>
      <c r="H21" s="164"/>
      <c r="I21" s="154">
        <v>13.1036</v>
      </c>
      <c r="J21" s="155">
        <v>79</v>
      </c>
      <c r="K21" s="156">
        <f t="shared" si="0"/>
        <v>1035.1844000000001</v>
      </c>
      <c r="L21" s="165"/>
      <c r="M21" s="158">
        <v>205</v>
      </c>
      <c r="N21" s="156">
        <f t="shared" si="1"/>
        <v>30</v>
      </c>
      <c r="O21" s="166"/>
      <c r="P21" s="155" t="s">
        <v>127</v>
      </c>
      <c r="Q21" s="160" t="s">
        <v>138</v>
      </c>
      <c r="R21" s="161">
        <f t="shared" si="2"/>
        <v>143.5</v>
      </c>
      <c r="S21" s="161">
        <v>30</v>
      </c>
    </row>
    <row r="22" spans="1:19" s="167" customFormat="1" x14ac:dyDescent="0.2">
      <c r="A22" s="150" t="s">
        <v>124</v>
      </c>
      <c r="B22" s="164"/>
      <c r="C22" s="151" t="s">
        <v>105</v>
      </c>
      <c r="D22" s="152" t="s">
        <v>125</v>
      </c>
      <c r="E22" s="151" t="s">
        <v>79</v>
      </c>
      <c r="F22" s="164"/>
      <c r="G22" s="150" t="s">
        <v>71</v>
      </c>
      <c r="H22" s="164"/>
      <c r="I22" s="154">
        <v>20.3308</v>
      </c>
      <c r="J22" s="155">
        <v>45</v>
      </c>
      <c r="K22" s="156">
        <f t="shared" si="0"/>
        <v>914.88599999999997</v>
      </c>
      <c r="L22" s="165"/>
      <c r="M22" s="158">
        <v>205</v>
      </c>
      <c r="N22" s="156">
        <f t="shared" si="1"/>
        <v>30</v>
      </c>
      <c r="O22" s="166"/>
      <c r="P22" s="155" t="s">
        <v>128</v>
      </c>
      <c r="Q22" s="160" t="s">
        <v>138</v>
      </c>
      <c r="R22" s="161">
        <f t="shared" si="2"/>
        <v>143.5</v>
      </c>
      <c r="S22" s="161">
        <v>30</v>
      </c>
    </row>
    <row r="23" spans="1:19" s="167" customFormat="1" ht="12.75" customHeight="1" x14ac:dyDescent="0.2">
      <c r="A23" s="150" t="s">
        <v>124</v>
      </c>
      <c r="B23" s="164"/>
      <c r="C23" s="151" t="s">
        <v>106</v>
      </c>
      <c r="D23" s="152" t="s">
        <v>125</v>
      </c>
      <c r="E23" s="151" t="s">
        <v>80</v>
      </c>
      <c r="F23" s="164"/>
      <c r="G23" s="150" t="s">
        <v>71</v>
      </c>
      <c r="H23" s="164"/>
      <c r="I23" s="154">
        <v>18.001300000000001</v>
      </c>
      <c r="J23" s="155">
        <v>41</v>
      </c>
      <c r="K23" s="156">
        <f t="shared" si="0"/>
        <v>738.05330000000004</v>
      </c>
      <c r="L23" s="165"/>
      <c r="M23" s="158">
        <v>205</v>
      </c>
      <c r="N23" s="156">
        <f t="shared" si="1"/>
        <v>30</v>
      </c>
      <c r="O23" s="166"/>
      <c r="P23" s="155" t="s">
        <v>127</v>
      </c>
      <c r="Q23" s="160" t="s">
        <v>138</v>
      </c>
      <c r="R23" s="161">
        <f t="shared" si="2"/>
        <v>143.5</v>
      </c>
      <c r="S23" s="161">
        <v>30</v>
      </c>
    </row>
    <row r="24" spans="1:19" s="167" customFormat="1" x14ac:dyDescent="0.2">
      <c r="A24" s="150" t="s">
        <v>124</v>
      </c>
      <c r="B24" s="164"/>
      <c r="C24" s="151" t="s">
        <v>159</v>
      </c>
      <c r="D24" s="152" t="s">
        <v>125</v>
      </c>
      <c r="E24" s="151" t="s">
        <v>20</v>
      </c>
      <c r="F24" s="164"/>
      <c r="G24" s="150" t="s">
        <v>71</v>
      </c>
      <c r="H24" s="164"/>
      <c r="I24" s="154">
        <v>16.032499999999999</v>
      </c>
      <c r="J24" s="155">
        <v>24</v>
      </c>
      <c r="K24" s="156">
        <f t="shared" si="0"/>
        <v>384.78</v>
      </c>
      <c r="L24" s="165"/>
      <c r="M24" s="158">
        <v>120</v>
      </c>
      <c r="N24" s="156">
        <f t="shared" si="1"/>
        <v>30</v>
      </c>
      <c r="O24" s="166"/>
      <c r="P24" s="170" t="s">
        <v>127</v>
      </c>
      <c r="Q24" s="160" t="s">
        <v>160</v>
      </c>
      <c r="R24" s="161">
        <f t="shared" si="2"/>
        <v>84</v>
      </c>
      <c r="S24" s="161">
        <v>30</v>
      </c>
    </row>
    <row r="25" spans="1:19" s="167" customFormat="1" x14ac:dyDescent="0.2">
      <c r="A25" s="150" t="s">
        <v>124</v>
      </c>
      <c r="B25" s="164"/>
      <c r="C25" s="151" t="s">
        <v>107</v>
      </c>
      <c r="D25" s="152" t="s">
        <v>125</v>
      </c>
      <c r="E25" s="151" t="s">
        <v>81</v>
      </c>
      <c r="F25" s="164"/>
      <c r="G25" s="150" t="s">
        <v>71</v>
      </c>
      <c r="H25" s="164"/>
      <c r="I25" s="154">
        <v>6.7516999999999996</v>
      </c>
      <c r="J25" s="155">
        <v>42</v>
      </c>
      <c r="K25" s="156">
        <f t="shared" si="0"/>
        <v>283.57139999999998</v>
      </c>
      <c r="L25" s="165"/>
      <c r="M25" s="158">
        <v>82</v>
      </c>
      <c r="N25" s="156">
        <f t="shared" si="1"/>
        <v>20</v>
      </c>
      <c r="O25" s="166"/>
      <c r="P25" s="155" t="s">
        <v>127</v>
      </c>
      <c r="Q25" s="160" t="s">
        <v>140</v>
      </c>
      <c r="R25" s="161">
        <f t="shared" si="2"/>
        <v>57.4</v>
      </c>
      <c r="S25" s="161">
        <v>20</v>
      </c>
    </row>
    <row r="26" spans="1:19" s="167" customFormat="1" ht="12.75" customHeight="1" x14ac:dyDescent="0.2">
      <c r="A26" s="150" t="s">
        <v>124</v>
      </c>
      <c r="B26" s="164"/>
      <c r="C26" s="151" t="s">
        <v>108</v>
      </c>
      <c r="D26" s="152" t="s">
        <v>125</v>
      </c>
      <c r="E26" s="151" t="s">
        <v>82</v>
      </c>
      <c r="F26" s="164"/>
      <c r="G26" s="150" t="s">
        <v>71</v>
      </c>
      <c r="H26" s="164"/>
      <c r="I26" s="154">
        <v>4.4867999999999997</v>
      </c>
      <c r="J26" s="155">
        <v>54</v>
      </c>
      <c r="K26" s="156">
        <f t="shared" si="0"/>
        <v>242.28719999999998</v>
      </c>
      <c r="L26" s="165"/>
      <c r="M26" s="158">
        <v>40</v>
      </c>
      <c r="N26" s="156">
        <f t="shared" si="1"/>
        <v>10</v>
      </c>
      <c r="O26" s="166"/>
      <c r="P26" s="170" t="s">
        <v>128</v>
      </c>
      <c r="Q26" s="160" t="s">
        <v>141</v>
      </c>
      <c r="R26" s="161">
        <f t="shared" si="2"/>
        <v>28</v>
      </c>
      <c r="S26" s="161">
        <v>10</v>
      </c>
    </row>
    <row r="27" spans="1:19" s="167" customFormat="1" x14ac:dyDescent="0.2">
      <c r="A27" s="150" t="s">
        <v>124</v>
      </c>
      <c r="B27" s="164"/>
      <c r="C27" s="151" t="s">
        <v>18</v>
      </c>
      <c r="D27" s="152" t="s">
        <v>125</v>
      </c>
      <c r="E27" s="151" t="s">
        <v>83</v>
      </c>
      <c r="F27" s="164"/>
      <c r="G27" s="150" t="s">
        <v>71</v>
      </c>
      <c r="H27" s="164"/>
      <c r="I27" s="154">
        <v>5.0265000000000004</v>
      </c>
      <c r="J27" s="155">
        <v>47</v>
      </c>
      <c r="K27" s="156">
        <f t="shared" si="0"/>
        <v>236.24550000000002</v>
      </c>
      <c r="L27" s="165"/>
      <c r="M27" s="158">
        <v>90</v>
      </c>
      <c r="N27" s="156">
        <f t="shared" si="1"/>
        <v>20</v>
      </c>
      <c r="O27" s="166"/>
      <c r="P27" s="170" t="s">
        <v>128</v>
      </c>
      <c r="Q27" s="160" t="s">
        <v>139</v>
      </c>
      <c r="R27" s="161">
        <f t="shared" si="2"/>
        <v>62.999999999999993</v>
      </c>
      <c r="S27" s="161">
        <v>20</v>
      </c>
    </row>
    <row r="28" spans="1:19" s="167" customFormat="1" x14ac:dyDescent="0.2">
      <c r="A28" s="150" t="s">
        <v>124</v>
      </c>
      <c r="B28" s="164"/>
      <c r="C28" s="151" t="s">
        <v>109</v>
      </c>
      <c r="D28" s="152" t="s">
        <v>125</v>
      </c>
      <c r="E28" s="151" t="s">
        <v>84</v>
      </c>
      <c r="F28" s="164"/>
      <c r="G28" s="150" t="s">
        <v>71</v>
      </c>
      <c r="H28" s="164"/>
      <c r="I28" s="154">
        <v>4.8005000000000004</v>
      </c>
      <c r="J28" s="155">
        <v>49</v>
      </c>
      <c r="K28" s="156">
        <f t="shared" si="0"/>
        <v>235.22450000000003</v>
      </c>
      <c r="L28" s="165"/>
      <c r="M28" s="158">
        <v>70</v>
      </c>
      <c r="N28" s="156">
        <f t="shared" si="1"/>
        <v>20</v>
      </c>
      <c r="O28" s="166"/>
      <c r="P28" s="155" t="s">
        <v>127</v>
      </c>
      <c r="Q28" s="160" t="s">
        <v>140</v>
      </c>
      <c r="R28" s="161">
        <f t="shared" si="2"/>
        <v>49</v>
      </c>
      <c r="S28" s="161">
        <v>20</v>
      </c>
    </row>
    <row r="29" spans="1:19" s="167" customFormat="1" x14ac:dyDescent="0.2">
      <c r="A29" s="150" t="s">
        <v>124</v>
      </c>
      <c r="B29" s="164"/>
      <c r="C29" s="151" t="s">
        <v>110</v>
      </c>
      <c r="D29" s="152" t="s">
        <v>125</v>
      </c>
      <c r="E29" s="151" t="s">
        <v>85</v>
      </c>
      <c r="F29" s="164"/>
      <c r="G29" s="150" t="s">
        <v>71</v>
      </c>
      <c r="H29" s="164"/>
      <c r="I29" s="154">
        <v>6.3226000000000004</v>
      </c>
      <c r="J29" s="155">
        <v>32</v>
      </c>
      <c r="K29" s="156">
        <f t="shared" si="0"/>
        <v>202.32320000000001</v>
      </c>
      <c r="L29" s="165"/>
      <c r="M29" s="158">
        <v>80</v>
      </c>
      <c r="N29" s="156">
        <f t="shared" si="1"/>
        <v>20</v>
      </c>
      <c r="O29" s="166"/>
      <c r="P29" s="155" t="s">
        <v>128</v>
      </c>
      <c r="Q29" s="160" t="s">
        <v>139</v>
      </c>
      <c r="R29" s="161">
        <f t="shared" si="2"/>
        <v>56</v>
      </c>
      <c r="S29" s="161">
        <v>20</v>
      </c>
    </row>
    <row r="30" spans="1:19" s="167" customFormat="1" ht="12.75" customHeight="1" x14ac:dyDescent="0.2">
      <c r="A30" s="150" t="s">
        <v>124</v>
      </c>
      <c r="B30" s="164"/>
      <c r="C30" s="151" t="s">
        <v>111</v>
      </c>
      <c r="D30" s="152" t="s">
        <v>125</v>
      </c>
      <c r="E30" s="151" t="s">
        <v>86</v>
      </c>
      <c r="F30" s="164"/>
      <c r="G30" s="150" t="s">
        <v>71</v>
      </c>
      <c r="H30" s="164"/>
      <c r="I30" s="154">
        <v>4.8811999999999998</v>
      </c>
      <c r="J30" s="155">
        <v>42</v>
      </c>
      <c r="K30" s="156">
        <f t="shared" si="0"/>
        <v>205.0104</v>
      </c>
      <c r="L30" s="165"/>
      <c r="M30" s="158">
        <v>29</v>
      </c>
      <c r="N30" s="156">
        <f t="shared" si="1"/>
        <v>5</v>
      </c>
      <c r="O30" s="166"/>
      <c r="P30" s="155" t="s">
        <v>127</v>
      </c>
      <c r="Q30" s="160" t="s">
        <v>142</v>
      </c>
      <c r="R30" s="161">
        <f t="shared" si="2"/>
        <v>20.299999999999997</v>
      </c>
      <c r="S30" s="161">
        <v>5</v>
      </c>
    </row>
    <row r="31" spans="1:19" s="167" customFormat="1" ht="12.75" customHeight="1" x14ac:dyDescent="0.2">
      <c r="A31" s="150" t="s">
        <v>124</v>
      </c>
      <c r="B31" s="164"/>
      <c r="C31" s="151" t="s">
        <v>112</v>
      </c>
      <c r="D31" s="152" t="s">
        <v>125</v>
      </c>
      <c r="E31" s="151" t="s">
        <v>87</v>
      </c>
      <c r="F31" s="164"/>
      <c r="G31" s="150" t="s">
        <v>71</v>
      </c>
      <c r="H31" s="164"/>
      <c r="I31" s="154">
        <v>5.9786999999999999</v>
      </c>
      <c r="J31" s="155">
        <v>33</v>
      </c>
      <c r="K31" s="156">
        <f t="shared" si="0"/>
        <v>197.2971</v>
      </c>
      <c r="L31" s="165"/>
      <c r="M31" s="158">
        <v>40</v>
      </c>
      <c r="N31" s="156">
        <f t="shared" si="1"/>
        <v>10</v>
      </c>
      <c r="O31" s="166"/>
      <c r="P31" s="155" t="s">
        <v>127</v>
      </c>
      <c r="Q31" s="160" t="s">
        <v>140</v>
      </c>
      <c r="R31" s="161">
        <f t="shared" si="2"/>
        <v>28</v>
      </c>
      <c r="S31" s="161">
        <v>10</v>
      </c>
    </row>
    <row r="32" spans="1:19" s="167" customFormat="1" x14ac:dyDescent="0.2">
      <c r="A32" s="150" t="s">
        <v>124</v>
      </c>
      <c r="B32" s="164"/>
      <c r="C32" s="151" t="s">
        <v>113</v>
      </c>
      <c r="D32" s="152" t="s">
        <v>125</v>
      </c>
      <c r="E32" s="151" t="s">
        <v>88</v>
      </c>
      <c r="F32" s="164"/>
      <c r="G32" s="150" t="s">
        <v>71</v>
      </c>
      <c r="H32" s="164"/>
      <c r="I32" s="154">
        <v>6.6806999999999999</v>
      </c>
      <c r="J32" s="155">
        <v>29</v>
      </c>
      <c r="K32" s="156">
        <f t="shared" si="0"/>
        <v>193.74029999999999</v>
      </c>
      <c r="L32" s="165"/>
      <c r="M32" s="158">
        <v>105</v>
      </c>
      <c r="N32" s="156">
        <f t="shared" si="1"/>
        <v>30</v>
      </c>
      <c r="O32" s="166"/>
      <c r="P32" s="155" t="s">
        <v>127</v>
      </c>
      <c r="Q32" s="160" t="s">
        <v>139</v>
      </c>
      <c r="R32" s="161">
        <f t="shared" si="2"/>
        <v>73.5</v>
      </c>
      <c r="S32" s="161">
        <v>30</v>
      </c>
    </row>
    <row r="33" spans="1:19" s="167" customFormat="1" x14ac:dyDescent="0.2">
      <c r="A33" s="150" t="s">
        <v>124</v>
      </c>
      <c r="B33" s="164"/>
      <c r="C33" s="151" t="s">
        <v>74</v>
      </c>
      <c r="D33" s="152" t="s">
        <v>125</v>
      </c>
      <c r="E33" s="151" t="s">
        <v>89</v>
      </c>
      <c r="F33" s="164"/>
      <c r="G33" s="150" t="s">
        <v>71</v>
      </c>
      <c r="H33" s="164"/>
      <c r="I33" s="154">
        <v>4.1741000000000001</v>
      </c>
      <c r="J33" s="155">
        <v>42</v>
      </c>
      <c r="K33" s="156">
        <f t="shared" si="0"/>
        <v>175.31220000000002</v>
      </c>
      <c r="L33" s="165"/>
      <c r="M33" s="158">
        <v>70</v>
      </c>
      <c r="N33" s="156">
        <f t="shared" si="1"/>
        <v>20</v>
      </c>
      <c r="O33" s="166"/>
      <c r="P33" s="155" t="s">
        <v>127</v>
      </c>
      <c r="Q33" s="160" t="s">
        <v>140</v>
      </c>
      <c r="R33" s="161">
        <f t="shared" si="2"/>
        <v>49</v>
      </c>
      <c r="S33" s="161">
        <v>20</v>
      </c>
    </row>
    <row r="34" spans="1:19" s="167" customFormat="1" ht="12.75" customHeight="1" x14ac:dyDescent="0.2">
      <c r="A34" s="150" t="s">
        <v>124</v>
      </c>
      <c r="B34" s="164"/>
      <c r="C34" s="151" t="s">
        <v>114</v>
      </c>
      <c r="D34" s="152" t="s">
        <v>125</v>
      </c>
      <c r="E34" s="151" t="s">
        <v>90</v>
      </c>
      <c r="F34" s="164"/>
      <c r="G34" s="150" t="s">
        <v>71</v>
      </c>
      <c r="H34" s="164"/>
      <c r="I34" s="154">
        <v>3.9841000000000002</v>
      </c>
      <c r="J34" s="155">
        <v>36</v>
      </c>
      <c r="K34" s="156">
        <f t="shared" si="0"/>
        <v>143.42760000000001</v>
      </c>
      <c r="L34" s="165"/>
      <c r="M34" s="158">
        <v>46</v>
      </c>
      <c r="N34" s="156">
        <f t="shared" si="1"/>
        <v>15</v>
      </c>
      <c r="O34" s="166"/>
      <c r="P34" s="155" t="s">
        <v>127</v>
      </c>
      <c r="Q34" s="160" t="s">
        <v>139</v>
      </c>
      <c r="R34" s="161">
        <f t="shared" si="2"/>
        <v>32.199999999999996</v>
      </c>
      <c r="S34" s="161">
        <v>15</v>
      </c>
    </row>
    <row r="35" spans="1:19" s="167" customFormat="1" x14ac:dyDescent="0.2">
      <c r="A35" s="150" t="s">
        <v>124</v>
      </c>
      <c r="B35" s="164"/>
      <c r="C35" s="151" t="s">
        <v>115</v>
      </c>
      <c r="D35" s="152" t="s">
        <v>125</v>
      </c>
      <c r="E35" s="151" t="s">
        <v>91</v>
      </c>
      <c r="F35" s="164"/>
      <c r="G35" s="150" t="s">
        <v>71</v>
      </c>
      <c r="H35" s="164"/>
      <c r="I35" s="154">
        <v>3.5760999999999998</v>
      </c>
      <c r="J35" s="155">
        <v>38</v>
      </c>
      <c r="K35" s="156">
        <f t="shared" si="0"/>
        <v>135.89179999999999</v>
      </c>
      <c r="L35" s="165"/>
      <c r="M35" s="158">
        <v>45</v>
      </c>
      <c r="N35" s="156">
        <f t="shared" si="1"/>
        <v>15</v>
      </c>
      <c r="O35" s="166"/>
      <c r="P35" s="155" t="s">
        <v>127</v>
      </c>
      <c r="Q35" s="160" t="s">
        <v>139</v>
      </c>
      <c r="R35" s="161">
        <f t="shared" si="2"/>
        <v>31.499999999999996</v>
      </c>
      <c r="S35" s="161">
        <v>15</v>
      </c>
    </row>
    <row r="36" spans="1:19" s="167" customFormat="1" x14ac:dyDescent="0.2">
      <c r="A36" s="150" t="s">
        <v>124</v>
      </c>
      <c r="B36" s="164"/>
      <c r="C36" s="151" t="s">
        <v>116</v>
      </c>
      <c r="D36" s="152" t="s">
        <v>125</v>
      </c>
      <c r="E36" s="151" t="s">
        <v>92</v>
      </c>
      <c r="F36" s="164"/>
      <c r="G36" s="150" t="s">
        <v>71</v>
      </c>
      <c r="H36" s="164"/>
      <c r="I36" s="154">
        <v>6.9898999999999996</v>
      </c>
      <c r="J36" s="155">
        <v>18</v>
      </c>
      <c r="K36" s="156">
        <f t="shared" si="0"/>
        <v>125.81819999999999</v>
      </c>
      <c r="L36" s="165"/>
      <c r="M36" s="158">
        <v>68</v>
      </c>
      <c r="N36" s="156">
        <f t="shared" si="1"/>
        <v>20</v>
      </c>
      <c r="O36" s="166"/>
      <c r="P36" s="155" t="s">
        <v>127</v>
      </c>
      <c r="Q36" s="160" t="s">
        <v>137</v>
      </c>
      <c r="R36" s="161">
        <f t="shared" si="2"/>
        <v>47.599999999999994</v>
      </c>
      <c r="S36" s="161">
        <v>20</v>
      </c>
    </row>
    <row r="37" spans="1:19" s="167" customFormat="1" x14ac:dyDescent="0.2">
      <c r="A37" s="150" t="s">
        <v>124</v>
      </c>
      <c r="B37" s="164"/>
      <c r="C37" s="151" t="s">
        <v>117</v>
      </c>
      <c r="D37" s="152" t="s">
        <v>125</v>
      </c>
      <c r="E37" s="151" t="s">
        <v>93</v>
      </c>
      <c r="F37" s="164"/>
      <c r="G37" s="150" t="s">
        <v>71</v>
      </c>
      <c r="H37" s="164"/>
      <c r="I37" s="154">
        <v>2.6808000000000001</v>
      </c>
      <c r="J37" s="155">
        <v>36</v>
      </c>
      <c r="K37" s="156">
        <f t="shared" si="0"/>
        <v>96.508800000000008</v>
      </c>
      <c r="L37" s="165"/>
      <c r="M37" s="158">
        <v>28</v>
      </c>
      <c r="N37" s="156">
        <f t="shared" si="1"/>
        <v>5</v>
      </c>
      <c r="O37" s="166"/>
      <c r="P37" s="155" t="s">
        <v>127</v>
      </c>
      <c r="Q37" s="160" t="s">
        <v>143</v>
      </c>
      <c r="R37" s="161">
        <f t="shared" si="2"/>
        <v>19.599999999999998</v>
      </c>
      <c r="S37" s="161">
        <v>5</v>
      </c>
    </row>
    <row r="38" spans="1:19" s="167" customFormat="1" x14ac:dyDescent="0.2">
      <c r="A38" s="150" t="s">
        <v>124</v>
      </c>
      <c r="B38" s="164"/>
      <c r="C38" s="151" t="s">
        <v>118</v>
      </c>
      <c r="D38" s="152" t="s">
        <v>125</v>
      </c>
      <c r="E38" s="151" t="s">
        <v>94</v>
      </c>
      <c r="F38" s="164"/>
      <c r="G38" s="150" t="s">
        <v>71</v>
      </c>
      <c r="H38" s="164"/>
      <c r="I38" s="154">
        <v>5.5658000000000003</v>
      </c>
      <c r="J38" s="155">
        <v>14</v>
      </c>
      <c r="K38" s="156">
        <f t="shared" si="0"/>
        <v>77.921199999999999</v>
      </c>
      <c r="L38" s="165"/>
      <c r="M38" s="158">
        <v>68</v>
      </c>
      <c r="N38" s="156">
        <f t="shared" si="1"/>
        <v>20</v>
      </c>
      <c r="O38" s="166"/>
      <c r="P38" s="155" t="s">
        <v>127</v>
      </c>
      <c r="Q38" s="160" t="s">
        <v>140</v>
      </c>
      <c r="R38" s="161">
        <f t="shared" si="2"/>
        <v>47.599999999999994</v>
      </c>
      <c r="S38" s="161">
        <v>20</v>
      </c>
    </row>
    <row r="39" spans="1:19" s="167" customFormat="1" x14ac:dyDescent="0.2">
      <c r="A39" s="150" t="s">
        <v>124</v>
      </c>
      <c r="B39" s="164"/>
      <c r="C39" s="151" t="s">
        <v>118</v>
      </c>
      <c r="D39" s="152" t="s">
        <v>125</v>
      </c>
      <c r="E39" s="151" t="s">
        <v>95</v>
      </c>
      <c r="F39" s="164"/>
      <c r="G39" s="150" t="s">
        <v>71</v>
      </c>
      <c r="H39" s="164"/>
      <c r="I39" s="154">
        <v>4.0420999999999996</v>
      </c>
      <c r="J39" s="155">
        <v>17</v>
      </c>
      <c r="K39" s="156">
        <f t="shared" si="0"/>
        <v>68.715699999999998</v>
      </c>
      <c r="L39" s="165"/>
      <c r="M39" s="158">
        <v>50</v>
      </c>
      <c r="N39" s="156">
        <f t="shared" si="1"/>
        <v>15</v>
      </c>
      <c r="O39" s="166"/>
      <c r="P39" s="155" t="s">
        <v>127</v>
      </c>
      <c r="Q39" s="160" t="s">
        <v>141</v>
      </c>
      <c r="R39" s="161">
        <f t="shared" si="2"/>
        <v>35</v>
      </c>
      <c r="S39" s="161">
        <f t="shared" ref="S39" si="3">M39-R39</f>
        <v>15</v>
      </c>
    </row>
    <row r="40" spans="1:19" s="167" customFormat="1" x14ac:dyDescent="0.2">
      <c r="A40" s="150" t="s">
        <v>124</v>
      </c>
      <c r="B40" s="164"/>
      <c r="C40" s="151" t="s">
        <v>75</v>
      </c>
      <c r="D40" s="152" t="s">
        <v>125</v>
      </c>
      <c r="E40" s="151" t="s">
        <v>96</v>
      </c>
      <c r="F40" s="164"/>
      <c r="G40" s="150" t="s">
        <v>71</v>
      </c>
      <c r="H40" s="164"/>
      <c r="I40" s="154">
        <v>3.7612999999999999</v>
      </c>
      <c r="J40" s="155">
        <v>18</v>
      </c>
      <c r="K40" s="156">
        <f t="shared" si="0"/>
        <v>67.703400000000002</v>
      </c>
      <c r="L40" s="165"/>
      <c r="M40" s="158">
        <v>14</v>
      </c>
      <c r="N40" s="156">
        <f t="shared" si="1"/>
        <v>5</v>
      </c>
      <c r="O40" s="166"/>
      <c r="P40" s="155" t="s">
        <v>127</v>
      </c>
      <c r="Q40" s="160">
        <v>75</v>
      </c>
      <c r="R40" s="161">
        <f t="shared" si="2"/>
        <v>9.7999999999999989</v>
      </c>
      <c r="S40" s="161">
        <v>5</v>
      </c>
    </row>
    <row r="41" spans="1:19" s="167" customFormat="1" x14ac:dyDescent="0.2">
      <c r="A41" s="150" t="s">
        <v>124</v>
      </c>
      <c r="B41" s="164"/>
      <c r="C41" s="151" t="s">
        <v>119</v>
      </c>
      <c r="D41" s="152" t="s">
        <v>125</v>
      </c>
      <c r="E41" s="151" t="s">
        <v>97</v>
      </c>
      <c r="F41" s="164"/>
      <c r="G41" s="150" t="s">
        <v>71</v>
      </c>
      <c r="H41" s="164"/>
      <c r="I41" s="154">
        <v>5.0788000000000002</v>
      </c>
      <c r="J41" s="155">
        <v>13</v>
      </c>
      <c r="K41" s="156">
        <f t="shared" si="0"/>
        <v>66.0244</v>
      </c>
      <c r="L41" s="165"/>
      <c r="M41" s="158">
        <v>64</v>
      </c>
      <c r="N41" s="156">
        <f t="shared" si="1"/>
        <v>20</v>
      </c>
      <c r="O41" s="166"/>
      <c r="P41" s="155" t="s">
        <v>127</v>
      </c>
      <c r="Q41" s="160" t="s">
        <v>140</v>
      </c>
      <c r="R41" s="161">
        <f t="shared" si="2"/>
        <v>44.8</v>
      </c>
      <c r="S41" s="161">
        <v>20</v>
      </c>
    </row>
    <row r="42" spans="1:19" s="167" customFormat="1" x14ac:dyDescent="0.2">
      <c r="A42" s="150" t="s">
        <v>124</v>
      </c>
      <c r="B42" s="164"/>
      <c r="C42" s="151" t="s">
        <v>120</v>
      </c>
      <c r="D42" s="152" t="s">
        <v>125</v>
      </c>
      <c r="E42" s="151" t="s">
        <v>98</v>
      </c>
      <c r="F42" s="164"/>
      <c r="G42" s="150" t="s">
        <v>71</v>
      </c>
      <c r="H42" s="164"/>
      <c r="I42" s="154">
        <v>2.9020999999999999</v>
      </c>
      <c r="J42" s="155">
        <v>22</v>
      </c>
      <c r="K42" s="156">
        <f t="shared" si="0"/>
        <v>63.846199999999996</v>
      </c>
      <c r="L42" s="165"/>
      <c r="M42" s="158">
        <v>30</v>
      </c>
      <c r="N42" s="156">
        <f t="shared" si="1"/>
        <v>10</v>
      </c>
      <c r="O42" s="166"/>
      <c r="P42" s="155" t="s">
        <v>127</v>
      </c>
      <c r="Q42" s="160" t="s">
        <v>140</v>
      </c>
      <c r="R42" s="161">
        <f t="shared" si="2"/>
        <v>21</v>
      </c>
      <c r="S42" s="161">
        <v>10</v>
      </c>
    </row>
    <row r="43" spans="1:19" s="167" customFormat="1" x14ac:dyDescent="0.2">
      <c r="A43" s="150" t="s">
        <v>124</v>
      </c>
      <c r="B43" s="164"/>
      <c r="C43" s="151" t="s">
        <v>121</v>
      </c>
      <c r="D43" s="152" t="s">
        <v>125</v>
      </c>
      <c r="E43" s="151" t="s">
        <v>99</v>
      </c>
      <c r="F43" s="164"/>
      <c r="G43" s="150" t="s">
        <v>71</v>
      </c>
      <c r="H43" s="164"/>
      <c r="I43" s="154">
        <v>5.4764999999999997</v>
      </c>
      <c r="J43" s="155">
        <v>11</v>
      </c>
      <c r="K43" s="156">
        <f t="shared" si="0"/>
        <v>60.241499999999995</v>
      </c>
      <c r="L43" s="165"/>
      <c r="M43" s="158">
        <v>88</v>
      </c>
      <c r="N43" s="156">
        <f t="shared" si="1"/>
        <v>20</v>
      </c>
      <c r="O43" s="166"/>
      <c r="P43" s="155" t="s">
        <v>127</v>
      </c>
      <c r="Q43" s="160" t="s">
        <v>139</v>
      </c>
      <c r="R43" s="161">
        <f t="shared" si="2"/>
        <v>61.599999999999994</v>
      </c>
      <c r="S43" s="161">
        <v>20</v>
      </c>
    </row>
    <row r="44" spans="1:19" s="167" customFormat="1" ht="12.75" customHeight="1" x14ac:dyDescent="0.2">
      <c r="A44" s="150" t="s">
        <v>124</v>
      </c>
      <c r="B44" s="164"/>
      <c r="C44" s="151" t="s">
        <v>122</v>
      </c>
      <c r="D44" s="152" t="s">
        <v>125</v>
      </c>
      <c r="E44" s="151" t="s">
        <v>100</v>
      </c>
      <c r="F44" s="164"/>
      <c r="G44" s="150" t="s">
        <v>71</v>
      </c>
      <c r="H44" s="164"/>
      <c r="I44" s="154">
        <v>7.9736000000000002</v>
      </c>
      <c r="J44" s="155">
        <v>6</v>
      </c>
      <c r="K44" s="156">
        <f t="shared" si="0"/>
        <v>47.8416</v>
      </c>
      <c r="L44" s="165"/>
      <c r="M44" s="158">
        <v>24</v>
      </c>
      <c r="N44" s="156">
        <f t="shared" si="1"/>
        <v>5</v>
      </c>
      <c r="O44" s="166"/>
      <c r="P44" s="155" t="s">
        <v>127</v>
      </c>
      <c r="Q44" s="160" t="s">
        <v>160</v>
      </c>
      <c r="R44" s="171">
        <f t="shared" si="2"/>
        <v>16.799999999999997</v>
      </c>
      <c r="S44" s="171">
        <v>5</v>
      </c>
    </row>
    <row r="45" spans="1:19" s="167" customFormat="1" x14ac:dyDescent="0.2">
      <c r="A45" s="150" t="s">
        <v>124</v>
      </c>
      <c r="B45" s="164"/>
      <c r="C45" s="151" t="s">
        <v>123</v>
      </c>
      <c r="D45" s="152" t="s">
        <v>125</v>
      </c>
      <c r="E45" s="151" t="s">
        <v>101</v>
      </c>
      <c r="F45" s="164"/>
      <c r="G45" s="150" t="s">
        <v>71</v>
      </c>
      <c r="H45" s="164"/>
      <c r="I45" s="154">
        <v>7.8615000000000004</v>
      </c>
      <c r="J45" s="155">
        <v>4</v>
      </c>
      <c r="K45" s="156">
        <f t="shared" si="0"/>
        <v>31.446000000000002</v>
      </c>
      <c r="L45" s="165"/>
      <c r="M45" s="158">
        <v>39.28</v>
      </c>
      <c r="N45" s="156">
        <f t="shared" si="1"/>
        <v>5</v>
      </c>
      <c r="O45" s="166"/>
      <c r="P45" s="155" t="s">
        <v>127</v>
      </c>
      <c r="Q45" s="160" t="s">
        <v>160</v>
      </c>
      <c r="R45" s="171">
        <f t="shared" si="2"/>
        <v>27.495999999999999</v>
      </c>
      <c r="S45" s="171">
        <v>5</v>
      </c>
    </row>
    <row r="46" spans="1:19" s="167" customFormat="1" x14ac:dyDescent="0.2">
      <c r="A46" s="150" t="s">
        <v>124</v>
      </c>
      <c r="B46" s="164"/>
      <c r="C46" s="151" t="s">
        <v>151</v>
      </c>
      <c r="D46" s="152" t="s">
        <v>125</v>
      </c>
      <c r="E46" s="151" t="s">
        <v>147</v>
      </c>
      <c r="F46" s="164"/>
      <c r="G46" s="152" t="s">
        <v>71</v>
      </c>
      <c r="H46" s="164"/>
      <c r="I46" s="154">
        <v>2.9403000000000001</v>
      </c>
      <c r="J46" s="155">
        <v>428</v>
      </c>
      <c r="K46" s="156">
        <f t="shared" ref="K46:K48" si="4">J46*I46</f>
        <v>1258.4484</v>
      </c>
      <c r="L46" s="166"/>
      <c r="M46" s="172">
        <v>3</v>
      </c>
      <c r="N46" s="156">
        <f t="shared" ref="N46:N48" si="5">S46</f>
        <v>10</v>
      </c>
      <c r="O46" s="166"/>
      <c r="P46" s="155" t="s">
        <v>127</v>
      </c>
      <c r="Q46" s="173" t="s">
        <v>139</v>
      </c>
      <c r="R46" s="171">
        <f t="shared" ref="R46:R50" si="6">M46*0.7</f>
        <v>2.0999999999999996</v>
      </c>
      <c r="S46" s="171">
        <v>10</v>
      </c>
    </row>
    <row r="47" spans="1:19" s="167" customFormat="1" x14ac:dyDescent="0.2">
      <c r="A47" s="150" t="s">
        <v>124</v>
      </c>
      <c r="B47" s="164"/>
      <c r="C47" s="151" t="s">
        <v>152</v>
      </c>
      <c r="D47" s="152" t="s">
        <v>125</v>
      </c>
      <c r="E47" s="151" t="s">
        <v>148</v>
      </c>
      <c r="F47" s="164"/>
      <c r="G47" s="152" t="s">
        <v>71</v>
      </c>
      <c r="H47" s="164"/>
      <c r="I47" s="154">
        <v>3.6371000000000002</v>
      </c>
      <c r="J47" s="155">
        <v>291</v>
      </c>
      <c r="K47" s="156">
        <f t="shared" si="4"/>
        <v>1058.3961000000002</v>
      </c>
      <c r="L47" s="166"/>
      <c r="M47" s="166">
        <v>42</v>
      </c>
      <c r="N47" s="156">
        <f t="shared" si="5"/>
        <v>10</v>
      </c>
      <c r="O47" s="166"/>
      <c r="P47" s="155" t="s">
        <v>127</v>
      </c>
      <c r="Q47" s="173" t="s">
        <v>141</v>
      </c>
      <c r="R47" s="161">
        <f t="shared" si="6"/>
        <v>29.4</v>
      </c>
      <c r="S47" s="161">
        <v>10</v>
      </c>
    </row>
    <row r="48" spans="1:19" s="167" customFormat="1" x14ac:dyDescent="0.2">
      <c r="A48" s="150" t="s">
        <v>124</v>
      </c>
      <c r="B48" s="164"/>
      <c r="C48" s="151" t="s">
        <v>153</v>
      </c>
      <c r="D48" s="152" t="s">
        <v>125</v>
      </c>
      <c r="E48" s="151" t="s">
        <v>149</v>
      </c>
      <c r="F48" s="164"/>
      <c r="G48" s="152" t="s">
        <v>71</v>
      </c>
      <c r="H48" s="164"/>
      <c r="I48" s="154">
        <v>16.784199999999998</v>
      </c>
      <c r="J48" s="155">
        <v>22</v>
      </c>
      <c r="K48" s="156">
        <f t="shared" si="4"/>
        <v>369.25239999999997</v>
      </c>
      <c r="L48" s="166"/>
      <c r="M48" s="166">
        <v>150</v>
      </c>
      <c r="N48" s="156">
        <f t="shared" si="5"/>
        <v>30</v>
      </c>
      <c r="O48" s="166"/>
      <c r="P48" s="155" t="s">
        <v>127</v>
      </c>
      <c r="Q48" s="173" t="s">
        <v>146</v>
      </c>
      <c r="R48" s="161">
        <f t="shared" si="6"/>
        <v>105</v>
      </c>
      <c r="S48" s="161">
        <v>30</v>
      </c>
    </row>
    <row r="49" spans="1:19" s="33" customFormat="1" ht="15" x14ac:dyDescent="0.25">
      <c r="A49" s="113"/>
      <c r="B49" s="139"/>
      <c r="C49" s="140"/>
      <c r="D49" s="142"/>
      <c r="E49" s="2"/>
      <c r="F49" s="113"/>
      <c r="G49" s="2"/>
      <c r="H49" s="141"/>
      <c r="I49" s="122"/>
      <c r="J49" s="115"/>
      <c r="K49" s="38"/>
      <c r="L49" s="114"/>
      <c r="M49" s="147"/>
      <c r="N49" s="122"/>
    </row>
    <row r="50" spans="1:19" s="33" customFormat="1" ht="15" x14ac:dyDescent="0.25">
      <c r="A50" s="124"/>
      <c r="B50" s="127"/>
      <c r="C50" s="136"/>
      <c r="D50" s="128"/>
      <c r="E50" s="136"/>
      <c r="F50" s="129"/>
      <c r="G50" s="133"/>
      <c r="H50" s="129"/>
      <c r="I50" s="137"/>
      <c r="J50" s="138"/>
      <c r="K50" s="115"/>
      <c r="L50" s="38"/>
      <c r="M50" s="131"/>
      <c r="N50" s="115"/>
      <c r="O50" s="131"/>
      <c r="P50" s="130"/>
      <c r="Q50" s="126"/>
      <c r="R50" s="143">
        <f t="shared" si="6"/>
        <v>0</v>
      </c>
      <c r="S50" s="143">
        <v>5</v>
      </c>
    </row>
    <row r="51" spans="1:19" s="33" customFormat="1" ht="15.75" customHeight="1" x14ac:dyDescent="0.2">
      <c r="A51" s="64"/>
      <c r="B51" s="108"/>
      <c r="C51" s="11"/>
      <c r="D51" s="11"/>
      <c r="E51" s="2"/>
      <c r="F51" s="2"/>
      <c r="G51" s="2"/>
      <c r="H51" s="3"/>
      <c r="I51" s="4"/>
      <c r="J51" s="5"/>
      <c r="K51" s="65"/>
      <c r="L51" s="38"/>
      <c r="M51" s="6"/>
      <c r="N51" s="6"/>
      <c r="O51" s="6"/>
      <c r="P51" s="6"/>
    </row>
    <row r="52" spans="1:19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9" s="34" customFormat="1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9" s="34" customFormat="1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9" s="34" customFormat="1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9" s="34" customFormat="1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9" s="34" customFormat="1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9" s="34" customFormat="1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9" s="34" customFormat="1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9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9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9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9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9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2"/>
      <c r="D73" s="11"/>
      <c r="E73" s="2"/>
      <c r="F73" s="2"/>
      <c r="G73" s="2"/>
      <c r="H73" s="2"/>
      <c r="I73" s="4"/>
      <c r="J73" s="5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2"/>
      <c r="D74" s="11"/>
      <c r="E74" s="2"/>
      <c r="F74" s="2"/>
      <c r="G74" s="2"/>
      <c r="H74" s="2"/>
      <c r="I74" s="4"/>
      <c r="J74" s="5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2"/>
      <c r="D75" s="11"/>
      <c r="E75" s="2"/>
      <c r="F75" s="2"/>
      <c r="G75" s="2"/>
      <c r="H75" s="2"/>
      <c r="I75" s="4"/>
      <c r="J75" s="5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2"/>
      <c r="D76" s="11"/>
      <c r="E76" s="2"/>
      <c r="F76" s="2"/>
      <c r="G76" s="2"/>
      <c r="H76" s="2"/>
      <c r="I76" s="4"/>
      <c r="J76" s="5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2"/>
      <c r="D77" s="11"/>
      <c r="E77" s="2"/>
      <c r="F77" s="2"/>
      <c r="G77" s="2"/>
      <c r="H77" s="2"/>
      <c r="I77" s="4"/>
      <c r="J77" s="5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2"/>
      <c r="D78" s="11"/>
      <c r="E78" s="2"/>
      <c r="F78" s="2"/>
      <c r="G78" s="2"/>
      <c r="H78" s="2"/>
      <c r="I78" s="4"/>
      <c r="J78" s="5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2"/>
      <c r="D79" s="11"/>
      <c r="E79" s="2"/>
      <c r="F79" s="2"/>
      <c r="G79" s="2"/>
      <c r="H79" s="2"/>
      <c r="I79" s="4"/>
      <c r="J79" s="5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2"/>
      <c r="D80" s="11"/>
      <c r="E80" s="2"/>
      <c r="F80" s="2"/>
      <c r="G80" s="2"/>
      <c r="H80" s="2"/>
      <c r="I80" s="4"/>
      <c r="J80" s="5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2"/>
      <c r="D81" s="11"/>
      <c r="E81" s="2"/>
      <c r="F81" s="2"/>
      <c r="G81" s="2"/>
      <c r="H81" s="2"/>
      <c r="I81" s="4"/>
      <c r="J81" s="5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2"/>
      <c r="D82" s="11"/>
      <c r="E82" s="2"/>
      <c r="F82" s="2"/>
      <c r="G82" s="2"/>
      <c r="H82" s="2"/>
      <c r="I82" s="4"/>
      <c r="J82" s="5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2"/>
      <c r="D83" s="11"/>
      <c r="E83" s="2"/>
      <c r="F83" s="2"/>
      <c r="G83" s="2"/>
      <c r="H83" s="2"/>
      <c r="I83" s="4"/>
      <c r="J83" s="5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2"/>
      <c r="D84" s="11"/>
      <c r="E84" s="2"/>
      <c r="F84" s="2"/>
      <c r="G84" s="2"/>
      <c r="H84" s="2"/>
      <c r="I84" s="4"/>
      <c r="J84" s="5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2"/>
      <c r="D85" s="11"/>
      <c r="E85" s="2"/>
      <c r="F85" s="2"/>
      <c r="G85" s="2"/>
      <c r="H85" s="2"/>
      <c r="I85" s="4"/>
      <c r="J85" s="5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2"/>
      <c r="D86" s="11"/>
      <c r="E86" s="2"/>
      <c r="F86" s="2"/>
      <c r="G86" s="2"/>
      <c r="H86" s="2"/>
      <c r="I86" s="4"/>
      <c r="J86" s="5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2"/>
      <c r="D87" s="11"/>
      <c r="E87" s="2"/>
      <c r="F87" s="2"/>
      <c r="G87" s="2"/>
      <c r="H87" s="2"/>
      <c r="I87" s="4"/>
      <c r="J87" s="5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2"/>
      <c r="D88" s="11"/>
      <c r="E88" s="2"/>
      <c r="F88" s="2"/>
      <c r="G88" s="2"/>
      <c r="H88" s="2"/>
      <c r="I88" s="4"/>
      <c r="J88" s="5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2"/>
      <c r="D89" s="11"/>
      <c r="E89" s="2"/>
      <c r="F89" s="2"/>
      <c r="G89" s="2"/>
      <c r="H89" s="2"/>
      <c r="I89" s="4"/>
      <c r="J89" s="5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2"/>
      <c r="D90" s="11"/>
      <c r="E90" s="2"/>
      <c r="F90" s="2"/>
      <c r="G90" s="2"/>
      <c r="H90" s="2"/>
      <c r="I90" s="4"/>
      <c r="J90" s="5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2"/>
      <c r="D91" s="11"/>
      <c r="E91" s="2"/>
      <c r="F91" s="2"/>
      <c r="G91" s="2"/>
      <c r="H91" s="2"/>
      <c r="I91" s="4"/>
      <c r="J91" s="5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2"/>
      <c r="D92" s="11"/>
      <c r="E92" s="2"/>
      <c r="F92" s="2"/>
      <c r="G92" s="2"/>
      <c r="H92" s="2"/>
      <c r="I92" s="4"/>
      <c r="J92" s="5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2"/>
      <c r="D93" s="11"/>
      <c r="E93" s="2"/>
      <c r="F93" s="2"/>
      <c r="G93" s="2"/>
      <c r="H93" s="2"/>
      <c r="I93" s="4"/>
      <c r="J93" s="5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2"/>
      <c r="D94" s="11"/>
      <c r="E94" s="2"/>
      <c r="F94" s="2"/>
      <c r="G94" s="2"/>
      <c r="H94" s="2"/>
      <c r="I94" s="4"/>
      <c r="J94" s="5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2"/>
      <c r="D95" s="11"/>
      <c r="E95" s="2"/>
      <c r="F95" s="2"/>
      <c r="G95" s="2"/>
      <c r="H95" s="2"/>
      <c r="I95" s="4"/>
      <c r="J95" s="5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2"/>
      <c r="D96" s="11"/>
      <c r="E96" s="2"/>
      <c r="F96" s="2"/>
      <c r="G96" s="2"/>
      <c r="H96" s="2"/>
      <c r="I96" s="4"/>
      <c r="J96" s="5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2"/>
      <c r="D97" s="11"/>
      <c r="E97" s="2"/>
      <c r="F97" s="2"/>
      <c r="G97" s="2"/>
      <c r="H97" s="2"/>
      <c r="I97" s="4"/>
      <c r="J97" s="5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2"/>
      <c r="D98" s="11"/>
      <c r="E98" s="2"/>
      <c r="F98" s="2"/>
      <c r="G98" s="2"/>
      <c r="H98" s="2"/>
      <c r="I98" s="4"/>
      <c r="J98" s="5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2"/>
      <c r="D99" s="11"/>
      <c r="E99" s="2"/>
      <c r="F99" s="2"/>
      <c r="G99" s="2"/>
      <c r="H99" s="2"/>
      <c r="I99" s="4"/>
      <c r="J99" s="5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2"/>
      <c r="D100" s="11"/>
      <c r="E100" s="2"/>
      <c r="F100" s="2"/>
      <c r="G100" s="2"/>
      <c r="H100" s="2"/>
      <c r="I100" s="4"/>
      <c r="J100" s="5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2"/>
      <c r="D101" s="11"/>
      <c r="E101" s="2"/>
      <c r="F101" s="2"/>
      <c r="G101" s="2"/>
      <c r="H101" s="2"/>
      <c r="I101" s="4"/>
      <c r="J101" s="5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2"/>
      <c r="I102" s="15"/>
      <c r="J102" s="8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2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7"/>
      <c r="D104" s="11"/>
      <c r="E104" s="7"/>
      <c r="F104" s="7"/>
      <c r="G104" s="7"/>
      <c r="H104" s="2"/>
      <c r="I104" s="15"/>
      <c r="J104" s="8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7"/>
      <c r="D105" s="11"/>
      <c r="E105" s="7"/>
      <c r="F105" s="7"/>
      <c r="G105" s="7"/>
      <c r="H105" s="2"/>
      <c r="I105" s="15"/>
      <c r="J105" s="8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7"/>
      <c r="D106" s="11"/>
      <c r="E106" s="7"/>
      <c r="F106" s="7"/>
      <c r="G106" s="7"/>
      <c r="H106" s="2"/>
      <c r="I106" s="15"/>
      <c r="J106" s="8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7"/>
      <c r="D107" s="11"/>
      <c r="E107" s="7"/>
      <c r="F107" s="7"/>
      <c r="G107" s="7"/>
      <c r="H107" s="2"/>
      <c r="I107" s="15"/>
      <c r="J107" s="8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7"/>
      <c r="D108" s="11"/>
      <c r="E108" s="7"/>
      <c r="F108" s="7"/>
      <c r="G108" s="7"/>
      <c r="H108" s="2"/>
      <c r="I108" s="15"/>
      <c r="J108" s="8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7"/>
      <c r="D109" s="11"/>
      <c r="E109" s="7"/>
      <c r="F109" s="7"/>
      <c r="G109" s="7"/>
      <c r="H109" s="2"/>
      <c r="I109" s="15"/>
      <c r="J109" s="8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7"/>
      <c r="D110" s="11"/>
      <c r="E110" s="7"/>
      <c r="F110" s="7"/>
      <c r="G110" s="7"/>
      <c r="H110" s="2"/>
      <c r="I110" s="15"/>
      <c r="J110" s="8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7"/>
      <c r="D111" s="11"/>
      <c r="E111" s="7"/>
      <c r="F111" s="7"/>
      <c r="G111" s="7"/>
      <c r="H111" s="2"/>
      <c r="I111" s="15"/>
      <c r="J111" s="8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7"/>
      <c r="D112" s="11"/>
      <c r="E112" s="7"/>
      <c r="F112" s="7"/>
      <c r="G112" s="7"/>
      <c r="H112" s="2"/>
      <c r="I112" s="15"/>
      <c r="J112" s="8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7"/>
      <c r="D113" s="11"/>
      <c r="E113" s="7"/>
      <c r="F113" s="7"/>
      <c r="G113" s="7"/>
      <c r="H113" s="2"/>
      <c r="I113" s="15"/>
      <c r="J113" s="8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7"/>
      <c r="D114" s="11"/>
      <c r="E114" s="7"/>
      <c r="F114" s="7"/>
      <c r="G114" s="7"/>
      <c r="H114" s="2"/>
      <c r="I114" s="15"/>
      <c r="J114" s="8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7"/>
      <c r="D115" s="11"/>
      <c r="E115" s="7"/>
      <c r="F115" s="7"/>
      <c r="G115" s="7"/>
      <c r="H115" s="2"/>
      <c r="I115" s="15"/>
      <c r="J115" s="8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7"/>
      <c r="D116" s="11"/>
      <c r="E116" s="7"/>
      <c r="F116" s="7"/>
      <c r="G116" s="7"/>
      <c r="H116" s="2"/>
      <c r="I116" s="15"/>
      <c r="J116" s="8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7"/>
      <c r="D117" s="11"/>
      <c r="E117" s="7"/>
      <c r="F117" s="7"/>
      <c r="G117" s="7"/>
      <c r="H117" s="2"/>
      <c r="I117" s="15"/>
      <c r="J117" s="8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7"/>
      <c r="D118" s="11"/>
      <c r="E118" s="7"/>
      <c r="F118" s="7"/>
      <c r="G118" s="7"/>
      <c r="H118" s="2"/>
      <c r="I118" s="15"/>
      <c r="J118" s="8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7"/>
      <c r="D119" s="11"/>
      <c r="E119" s="7"/>
      <c r="F119" s="7"/>
      <c r="G119" s="7"/>
      <c r="H119" s="2"/>
      <c r="I119" s="15"/>
      <c r="J119" s="8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7"/>
      <c r="D120" s="11"/>
      <c r="E120" s="7"/>
      <c r="F120" s="7"/>
      <c r="G120" s="7"/>
      <c r="H120" s="2"/>
      <c r="I120" s="15"/>
      <c r="J120" s="8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7"/>
      <c r="D121" s="11"/>
      <c r="E121" s="7"/>
      <c r="F121" s="7"/>
      <c r="G121" s="7"/>
      <c r="H121" s="2"/>
      <c r="I121" s="15"/>
      <c r="J121" s="8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7"/>
      <c r="D122" s="11"/>
      <c r="E122" s="7"/>
      <c r="F122" s="7"/>
      <c r="G122" s="7"/>
      <c r="H122" s="2"/>
      <c r="I122" s="15"/>
      <c r="J122" s="8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7"/>
      <c r="D123" s="11"/>
      <c r="E123" s="7"/>
      <c r="F123" s="7"/>
      <c r="G123" s="7"/>
      <c r="H123" s="2"/>
      <c r="I123" s="15"/>
      <c r="J123" s="8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7"/>
      <c r="D124" s="11"/>
      <c r="E124" s="7"/>
      <c r="F124" s="7"/>
      <c r="G124" s="7"/>
      <c r="H124" s="2"/>
      <c r="I124" s="15"/>
      <c r="J124" s="8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7"/>
      <c r="D125" s="11"/>
      <c r="E125" s="7"/>
      <c r="F125" s="7"/>
      <c r="G125" s="7"/>
      <c r="H125" s="2"/>
      <c r="I125" s="15"/>
      <c r="J125" s="8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7"/>
      <c r="D126" s="11"/>
      <c r="E126" s="7"/>
      <c r="F126" s="7"/>
      <c r="G126" s="7"/>
      <c r="H126" s="3"/>
      <c r="I126" s="15"/>
      <c r="J126" s="8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7"/>
      <c r="D127" s="11"/>
      <c r="E127" s="7"/>
      <c r="F127" s="7"/>
      <c r="G127" s="7"/>
      <c r="H127" s="9"/>
      <c r="I127" s="15"/>
      <c r="J127" s="8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7"/>
      <c r="D128" s="11"/>
      <c r="E128" s="7"/>
      <c r="F128" s="7"/>
      <c r="G128" s="7"/>
      <c r="H128" s="9"/>
      <c r="I128" s="15"/>
      <c r="J128" s="8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7"/>
      <c r="D129" s="11"/>
      <c r="E129" s="7"/>
      <c r="F129" s="7"/>
      <c r="G129" s="7"/>
      <c r="H129" s="9"/>
      <c r="I129" s="15"/>
      <c r="J129" s="8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7"/>
      <c r="D130" s="11"/>
      <c r="E130" s="7"/>
      <c r="F130" s="7"/>
      <c r="G130" s="7"/>
      <c r="H130" s="9"/>
      <c r="I130" s="15"/>
      <c r="J130" s="8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7"/>
      <c r="D131" s="11"/>
      <c r="E131" s="7"/>
      <c r="F131" s="7"/>
      <c r="G131" s="7"/>
      <c r="H131" s="9"/>
      <c r="I131" s="16"/>
      <c r="J131" s="10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7"/>
      <c r="D132" s="11"/>
      <c r="E132" s="7"/>
      <c r="F132" s="7"/>
      <c r="G132" s="7"/>
      <c r="H132" s="9"/>
      <c r="I132" s="15"/>
      <c r="J132" s="8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2"/>
      <c r="D140" s="11"/>
      <c r="E140" s="2"/>
      <c r="F140" s="2"/>
      <c r="G140" s="2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2"/>
      <c r="D141" s="11"/>
      <c r="E141" s="2"/>
      <c r="F141" s="2"/>
      <c r="G141" s="2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x14ac:dyDescent="0.2">
      <c r="A142" s="64"/>
      <c r="B142" s="108"/>
      <c r="C142" s="2"/>
      <c r="D142" s="11"/>
      <c r="E142" s="2"/>
      <c r="F142" s="2"/>
      <c r="G142" s="2"/>
      <c r="H142" s="2"/>
      <c r="I142" s="4"/>
      <c r="J142" s="5"/>
      <c r="K142" s="65"/>
      <c r="L142" s="38"/>
      <c r="M142" s="6"/>
      <c r="N142" s="6"/>
      <c r="O142" s="6"/>
      <c r="P142" s="6"/>
    </row>
    <row r="143" spans="1:16" x14ac:dyDescent="0.2">
      <c r="A143" s="64"/>
      <c r="B143" s="108"/>
      <c r="C143" s="2"/>
      <c r="D143" s="11"/>
      <c r="E143" s="2"/>
      <c r="F143" s="2"/>
      <c r="G143" s="2"/>
      <c r="H143" s="2"/>
      <c r="I143" s="4"/>
      <c r="J143" s="5"/>
      <c r="K143" s="65"/>
      <c r="L143" s="38"/>
      <c r="M143" s="6"/>
      <c r="N143" s="6"/>
      <c r="O143" s="6"/>
      <c r="P143" s="6"/>
    </row>
    <row r="144" spans="1:16" x14ac:dyDescent="0.2">
      <c r="A144" s="64"/>
      <c r="B144" s="108"/>
      <c r="C144" s="2"/>
      <c r="D144" s="11"/>
      <c r="E144" s="2"/>
      <c r="F144" s="2"/>
      <c r="G144" s="2"/>
      <c r="H144" s="2"/>
      <c r="I144" s="4"/>
      <c r="J144" s="5"/>
      <c r="K144" s="65"/>
      <c r="L144" s="38"/>
      <c r="M144" s="6"/>
      <c r="N144" s="6"/>
      <c r="O144" s="6"/>
      <c r="P144" s="6"/>
    </row>
    <row r="145" spans="1:16" x14ac:dyDescent="0.2">
      <c r="A145" s="64"/>
      <c r="B145" s="108"/>
      <c r="C145" s="2"/>
      <c r="D145" s="11"/>
      <c r="E145" s="2"/>
      <c r="F145" s="2"/>
      <c r="G145" s="2"/>
      <c r="H145" s="2"/>
      <c r="I145" s="4"/>
      <c r="J145" s="5"/>
      <c r="K145" s="65"/>
      <c r="L145" s="38"/>
      <c r="M145" s="6"/>
      <c r="N145" s="6"/>
      <c r="O145" s="6"/>
      <c r="P145" s="6"/>
    </row>
    <row r="146" spans="1:16" x14ac:dyDescent="0.2">
      <c r="A146" s="64"/>
      <c r="B146" s="108"/>
      <c r="C146" s="2"/>
      <c r="D146" s="11"/>
      <c r="E146" s="2"/>
      <c r="F146" s="2"/>
      <c r="G146" s="2"/>
      <c r="H146" s="2"/>
      <c r="I146" s="4"/>
      <c r="J146" s="5"/>
      <c r="K146" s="65"/>
      <c r="L146" s="38"/>
      <c r="M146" s="6"/>
      <c r="N146" s="6"/>
      <c r="O146" s="6"/>
      <c r="P146" s="6"/>
    </row>
    <row r="147" spans="1:16" x14ac:dyDescent="0.2">
      <c r="A147" s="64"/>
      <c r="B147" s="108"/>
      <c r="C147" s="2"/>
      <c r="D147" s="11"/>
      <c r="E147" s="2"/>
      <c r="F147" s="2"/>
      <c r="G147" s="2"/>
      <c r="H147" s="2"/>
      <c r="I147" s="4"/>
      <c r="J147" s="5"/>
      <c r="K147" s="65"/>
      <c r="L147" s="38"/>
      <c r="M147" s="6"/>
      <c r="N147" s="6"/>
      <c r="O147" s="6"/>
      <c r="P147" s="6"/>
    </row>
    <row r="148" spans="1:16" x14ac:dyDescent="0.2">
      <c r="A148" s="64"/>
      <c r="B148" s="108"/>
      <c r="C148" s="2"/>
      <c r="D148" s="11"/>
      <c r="E148" s="2"/>
      <c r="F148" s="2"/>
      <c r="G148" s="2"/>
      <c r="H148" s="2"/>
      <c r="I148" s="4"/>
      <c r="J148" s="5"/>
      <c r="K148" s="65"/>
      <c r="L148" s="38"/>
      <c r="M148" s="6"/>
      <c r="N148" s="6"/>
      <c r="O148" s="6"/>
      <c r="P148" s="6"/>
    </row>
    <row r="149" spans="1:16" x14ac:dyDescent="0.2">
      <c r="A149" s="64"/>
      <c r="B149" s="108"/>
      <c r="C149" s="2"/>
      <c r="D149" s="11"/>
      <c r="E149" s="2"/>
      <c r="F149" s="2"/>
      <c r="G149" s="2"/>
      <c r="H149" s="2"/>
      <c r="I149" s="4"/>
      <c r="J149" s="5"/>
      <c r="K149" s="65"/>
      <c r="L149" s="38"/>
      <c r="M149" s="6"/>
      <c r="N149" s="6"/>
      <c r="O149" s="6"/>
      <c r="P149" s="6"/>
    </row>
    <row r="150" spans="1:16" x14ac:dyDescent="0.2">
      <c r="A150" s="64"/>
      <c r="B150" s="108"/>
      <c r="C150" s="2"/>
      <c r="D150" s="11"/>
      <c r="E150" s="2"/>
      <c r="F150" s="2"/>
      <c r="G150" s="2"/>
      <c r="H150" s="2"/>
      <c r="I150" s="4"/>
      <c r="J150" s="5"/>
      <c r="K150" s="65"/>
      <c r="L150" s="38"/>
      <c r="M150" s="6"/>
      <c r="N150" s="6"/>
      <c r="O150" s="6"/>
      <c r="P150" s="6"/>
    </row>
    <row r="151" spans="1:16" x14ac:dyDescent="0.2">
      <c r="A151" s="64"/>
      <c r="B151" s="108"/>
      <c r="C151" s="2"/>
      <c r="D151" s="11"/>
      <c r="E151" s="2"/>
      <c r="F151" s="2"/>
      <c r="G151" s="2"/>
      <c r="H151" s="2"/>
      <c r="I151" s="4"/>
      <c r="J151" s="5"/>
      <c r="K151" s="65"/>
      <c r="L151" s="38"/>
      <c r="M151" s="6"/>
      <c r="N151" s="6"/>
      <c r="O151" s="6"/>
      <c r="P151" s="6"/>
    </row>
    <row r="152" spans="1:16" x14ac:dyDescent="0.2">
      <c r="A152" s="64"/>
      <c r="B152" s="108"/>
      <c r="C152" s="2"/>
      <c r="D152" s="11"/>
      <c r="E152" s="2"/>
      <c r="F152" s="2"/>
      <c r="G152" s="2"/>
      <c r="H152" s="2"/>
      <c r="I152" s="4"/>
      <c r="J152" s="5"/>
      <c r="K152" s="65"/>
      <c r="L152" s="38"/>
      <c r="M152" s="6"/>
      <c r="N152" s="6"/>
      <c r="O152" s="6"/>
      <c r="P152" s="6"/>
    </row>
    <row r="153" spans="1:16" x14ac:dyDescent="0.2">
      <c r="A153" s="64"/>
      <c r="B153" s="108"/>
      <c r="C153" s="2"/>
      <c r="D153" s="11"/>
      <c r="E153" s="2"/>
      <c r="F153" s="2"/>
      <c r="G153" s="2"/>
      <c r="H153" s="2"/>
      <c r="I153" s="4"/>
      <c r="J153" s="5"/>
      <c r="K153" s="65"/>
      <c r="L153" s="38"/>
      <c r="M153" s="6"/>
      <c r="N153" s="6"/>
      <c r="O153" s="6"/>
      <c r="P153" s="6"/>
    </row>
    <row r="154" spans="1:16" x14ac:dyDescent="0.2">
      <c r="A154" s="64"/>
      <c r="B154" s="108"/>
      <c r="C154" s="2"/>
      <c r="D154" s="11"/>
      <c r="E154" s="2"/>
      <c r="F154" s="2"/>
      <c r="G154" s="2"/>
      <c r="H154" s="2"/>
      <c r="I154" s="4"/>
      <c r="J154" s="5"/>
      <c r="K154" s="65"/>
      <c r="L154" s="38"/>
      <c r="M154" s="6"/>
      <c r="N154" s="6"/>
      <c r="O154" s="6"/>
      <c r="P154" s="6"/>
    </row>
    <row r="155" spans="1:16" x14ac:dyDescent="0.2">
      <c r="A155" s="64"/>
      <c r="B155" s="108"/>
      <c r="C155" s="2"/>
      <c r="D155" s="11"/>
      <c r="E155" s="2"/>
      <c r="F155" s="2"/>
      <c r="G155" s="2"/>
      <c r="H155" s="2"/>
      <c r="I155" s="4"/>
      <c r="J155" s="5"/>
      <c r="K155" s="65"/>
      <c r="L155" s="38"/>
      <c r="M155" s="6"/>
      <c r="N155" s="6"/>
      <c r="O155" s="6"/>
      <c r="P155" s="6"/>
    </row>
    <row r="156" spans="1:16" x14ac:dyDescent="0.2">
      <c r="A156" s="64"/>
      <c r="B156" s="108"/>
      <c r="C156" s="2"/>
      <c r="D156" s="11"/>
      <c r="E156" s="2"/>
      <c r="F156" s="2"/>
      <c r="G156" s="2"/>
      <c r="H156" s="2"/>
      <c r="I156" s="4"/>
      <c r="J156" s="5"/>
      <c r="K156" s="65"/>
      <c r="L156" s="38"/>
      <c r="M156" s="6"/>
      <c r="N156" s="6"/>
      <c r="O156" s="6"/>
      <c r="P156" s="6"/>
    </row>
    <row r="157" spans="1:16" x14ac:dyDescent="0.2">
      <c r="A157" s="64"/>
      <c r="B157" s="108"/>
      <c r="C157" s="2"/>
      <c r="D157" s="11"/>
      <c r="E157" s="2"/>
      <c r="F157" s="2"/>
      <c r="G157" s="2"/>
      <c r="H157" s="2"/>
      <c r="I157" s="4"/>
      <c r="J157" s="5"/>
      <c r="K157" s="65"/>
      <c r="L157" s="38"/>
      <c r="M157" s="6"/>
      <c r="N157" s="6"/>
      <c r="O157" s="6"/>
      <c r="P157" s="6"/>
    </row>
    <row r="158" spans="1:16" x14ac:dyDescent="0.2">
      <c r="A158" s="64"/>
      <c r="B158" s="108"/>
      <c r="C158" s="2"/>
      <c r="D158" s="11"/>
      <c r="E158" s="2"/>
      <c r="F158" s="2"/>
      <c r="G158" s="2"/>
      <c r="H158" s="2"/>
      <c r="I158" s="4"/>
      <c r="J158" s="5"/>
      <c r="K158" s="65"/>
      <c r="L158" s="38"/>
      <c r="M158" s="6"/>
      <c r="N158" s="6"/>
      <c r="O158" s="6"/>
      <c r="P158" s="6"/>
    </row>
    <row r="159" spans="1:16" x14ac:dyDescent="0.2">
      <c r="A159" s="64"/>
      <c r="B159" s="108"/>
      <c r="C159" s="2"/>
      <c r="D159" s="11"/>
      <c r="E159" s="2"/>
      <c r="F159" s="2"/>
      <c r="G159" s="2"/>
      <c r="H159" s="2"/>
      <c r="I159" s="4"/>
      <c r="J159" s="5"/>
      <c r="K159" s="65"/>
      <c r="L159" s="38"/>
      <c r="M159" s="6"/>
      <c r="N159" s="6"/>
      <c r="O159" s="6"/>
      <c r="P159" s="6"/>
    </row>
    <row r="160" spans="1:16" x14ac:dyDescent="0.2">
      <c r="A160" s="64"/>
      <c r="B160" s="108"/>
      <c r="C160" s="2"/>
      <c r="D160" s="11"/>
      <c r="E160" s="2"/>
      <c r="F160" s="2"/>
      <c r="G160" s="2"/>
      <c r="H160" s="2"/>
      <c r="I160" s="4"/>
      <c r="J160" s="5"/>
      <c r="K160" s="65"/>
      <c r="L160" s="38"/>
      <c r="M160" s="6"/>
      <c r="N160" s="6"/>
      <c r="O160" s="6"/>
      <c r="P160" s="6"/>
    </row>
    <row r="161" spans="1:16" x14ac:dyDescent="0.2">
      <c r="A161" s="64"/>
      <c r="B161" s="108"/>
      <c r="C161" s="2"/>
      <c r="D161" s="11"/>
      <c r="E161" s="2"/>
      <c r="F161" s="2"/>
      <c r="G161" s="2"/>
      <c r="H161" s="2"/>
      <c r="I161" s="4"/>
      <c r="J161" s="5"/>
      <c r="K161" s="65"/>
      <c r="L161" s="38"/>
      <c r="M161" s="6"/>
      <c r="N161" s="6"/>
      <c r="O161" s="6"/>
      <c r="P161" s="6"/>
    </row>
    <row r="162" spans="1:16" x14ac:dyDescent="0.2">
      <c r="A162" s="64"/>
      <c r="B162" s="108"/>
      <c r="C162" s="2"/>
      <c r="D162" s="11"/>
      <c r="E162" s="2"/>
      <c r="F162" s="2"/>
      <c r="G162" s="2"/>
      <c r="H162" s="2"/>
      <c r="I162" s="4"/>
      <c r="J162" s="5"/>
      <c r="K162" s="65"/>
      <c r="L162" s="38"/>
      <c r="M162" s="6"/>
      <c r="N162" s="6"/>
      <c r="O162" s="6"/>
      <c r="P162" s="6"/>
    </row>
    <row r="163" spans="1:16" x14ac:dyDescent="0.2">
      <c r="A163" s="64"/>
      <c r="B163" s="108"/>
      <c r="C163" s="2"/>
      <c r="D163" s="11"/>
      <c r="E163" s="2"/>
      <c r="F163" s="2"/>
      <c r="G163" s="2"/>
      <c r="H163" s="2"/>
      <c r="I163" s="4"/>
      <c r="J163" s="5"/>
      <c r="K163" s="65"/>
      <c r="L163" s="38"/>
      <c r="M163" s="6"/>
      <c r="N163" s="6"/>
      <c r="O163" s="6"/>
      <c r="P163" s="6"/>
    </row>
    <row r="164" spans="1:16" x14ac:dyDescent="0.2">
      <c r="A164" s="64"/>
      <c r="B164" s="108"/>
      <c r="C164" s="2"/>
      <c r="D164" s="11"/>
      <c r="E164" s="2"/>
      <c r="F164" s="2"/>
      <c r="G164" s="2"/>
      <c r="H164" s="2"/>
      <c r="I164" s="4"/>
      <c r="J164" s="5"/>
      <c r="K164" s="65"/>
      <c r="L164" s="38"/>
      <c r="M164" s="6"/>
      <c r="N164" s="6"/>
      <c r="O164" s="6"/>
      <c r="P164" s="6"/>
    </row>
    <row r="165" spans="1:16" x14ac:dyDescent="0.2">
      <c r="A165" s="64"/>
      <c r="B165" s="108"/>
      <c r="C165" s="2"/>
      <c r="D165" s="11"/>
      <c r="E165" s="2"/>
      <c r="F165" s="2"/>
      <c r="G165" s="2"/>
      <c r="H165" s="2"/>
      <c r="I165" s="4"/>
      <c r="J165" s="5"/>
      <c r="K165" s="65"/>
      <c r="L165" s="38"/>
      <c r="M165" s="6"/>
      <c r="N165" s="6"/>
      <c r="O165" s="6"/>
      <c r="P165" s="6"/>
    </row>
    <row r="166" spans="1:16" x14ac:dyDescent="0.2">
      <c r="A166" s="64"/>
      <c r="B166" s="108"/>
      <c r="C166" s="2"/>
      <c r="D166" s="11"/>
      <c r="E166" s="2"/>
      <c r="F166" s="2"/>
      <c r="G166" s="2"/>
      <c r="H166" s="2"/>
      <c r="I166" s="4"/>
      <c r="J166" s="5"/>
      <c r="K166" s="65"/>
      <c r="L166" s="38"/>
      <c r="M166" s="6"/>
      <c r="N166" s="6"/>
      <c r="O166" s="6"/>
      <c r="P166" s="6"/>
    </row>
    <row r="167" spans="1:16" x14ac:dyDescent="0.2">
      <c r="A167" s="64"/>
      <c r="B167" s="108"/>
      <c r="C167" s="2"/>
      <c r="D167" s="11"/>
      <c r="E167" s="2"/>
      <c r="F167" s="2"/>
      <c r="G167" s="2"/>
      <c r="H167" s="2"/>
      <c r="I167" s="4"/>
      <c r="J167" s="5"/>
      <c r="K167" s="65"/>
      <c r="L167" s="38"/>
      <c r="M167" s="6"/>
      <c r="N167" s="6"/>
      <c r="O167" s="6"/>
      <c r="P167" s="6"/>
    </row>
    <row r="168" spans="1:16" x14ac:dyDescent="0.2">
      <c r="A168" s="64"/>
      <c r="B168" s="108"/>
      <c r="C168" s="2"/>
      <c r="D168" s="11"/>
      <c r="E168" s="2"/>
      <c r="F168" s="2"/>
      <c r="G168" s="2"/>
      <c r="H168" s="2"/>
      <c r="I168" s="4"/>
      <c r="J168" s="5"/>
      <c r="K168" s="65"/>
      <c r="L168" s="38"/>
      <c r="M168" s="6"/>
      <c r="N168" s="6"/>
      <c r="O168" s="6"/>
      <c r="P168" s="6"/>
    </row>
    <row r="169" spans="1:16" x14ac:dyDescent="0.2">
      <c r="A169" s="64"/>
      <c r="B169" s="108"/>
      <c r="C169" s="1"/>
      <c r="D169" s="11"/>
      <c r="E169" s="1"/>
      <c r="F169" s="1"/>
      <c r="G169" s="1"/>
      <c r="H169" s="2"/>
      <c r="I169" s="4"/>
      <c r="J169" s="5"/>
      <c r="K169" s="65"/>
      <c r="L169" s="38"/>
      <c r="M169" s="6"/>
      <c r="N169" s="6"/>
      <c r="O169" s="6"/>
      <c r="P169" s="6"/>
    </row>
    <row r="170" spans="1:16" x14ac:dyDescent="0.2">
      <c r="A170" s="64"/>
      <c r="B170" s="108"/>
      <c r="C170" s="1"/>
      <c r="D170" s="11"/>
      <c r="E170" s="1"/>
      <c r="F170" s="1"/>
      <c r="G170" s="1"/>
      <c r="H170" s="2"/>
      <c r="I170" s="4"/>
      <c r="J170" s="5"/>
      <c r="K170" s="65"/>
      <c r="L170" s="38"/>
      <c r="M170" s="6"/>
      <c r="N170" s="6"/>
      <c r="O170" s="6"/>
      <c r="P170" s="6"/>
    </row>
    <row r="171" spans="1:16" ht="12.75" customHeight="1" x14ac:dyDescent="0.2">
      <c r="A171" s="64"/>
      <c r="B171" s="108"/>
      <c r="C171" s="11"/>
      <c r="D171" s="11"/>
      <c r="E171" s="1"/>
      <c r="F171" s="1"/>
      <c r="G171" s="1"/>
      <c r="H171" s="2"/>
      <c r="I171" s="4"/>
      <c r="J171" s="2"/>
      <c r="K171" s="65"/>
      <c r="L171" s="38"/>
      <c r="M171" s="6"/>
      <c r="N171" s="6"/>
      <c r="O171" s="6"/>
      <c r="P171" s="6"/>
    </row>
    <row r="172" spans="1:16" ht="12.75" customHeight="1" x14ac:dyDescent="0.2">
      <c r="A172" s="64"/>
      <c r="B172" s="108"/>
      <c r="C172" s="11"/>
      <c r="D172" s="11"/>
      <c r="E172" s="1"/>
      <c r="F172" s="1"/>
      <c r="G172" s="1"/>
      <c r="H172" s="2"/>
      <c r="I172" s="4"/>
      <c r="J172" s="2"/>
      <c r="K172" s="65"/>
      <c r="L172" s="38"/>
      <c r="M172" s="6"/>
      <c r="N172" s="6"/>
      <c r="O172" s="6"/>
      <c r="P172" s="6"/>
    </row>
    <row r="173" spans="1:16" ht="12.75" customHeight="1" x14ac:dyDescent="0.2">
      <c r="A173" s="64"/>
      <c r="B173" s="108"/>
      <c r="C173" s="11"/>
      <c r="D173" s="11"/>
      <c r="E173" s="1"/>
      <c r="F173" s="1"/>
      <c r="G173" s="1"/>
      <c r="H173" s="2"/>
      <c r="I173" s="4"/>
      <c r="J173" s="2"/>
      <c r="K173" s="65"/>
      <c r="L173" s="38"/>
      <c r="M173" s="6"/>
      <c r="N173" s="6"/>
      <c r="O173" s="6"/>
      <c r="P173" s="6"/>
    </row>
    <row r="174" spans="1:16" ht="12.75" customHeight="1" x14ac:dyDescent="0.2">
      <c r="A174" s="64"/>
      <c r="B174" s="108"/>
      <c r="C174" s="11"/>
      <c r="D174" s="11"/>
      <c r="E174" s="1"/>
      <c r="F174" s="1"/>
      <c r="G174" s="1"/>
      <c r="H174" s="2"/>
      <c r="I174" s="4"/>
      <c r="J174" s="2"/>
      <c r="K174" s="65"/>
      <c r="L174" s="38"/>
      <c r="M174" s="6"/>
      <c r="N174" s="6"/>
      <c r="O174" s="6"/>
      <c r="P174" s="6"/>
    </row>
    <row r="175" spans="1:16" ht="12.75" customHeight="1" x14ac:dyDescent="0.2">
      <c r="A175" s="64"/>
      <c r="B175" s="108"/>
      <c r="C175" s="11"/>
      <c r="D175" s="11"/>
      <c r="E175" s="1"/>
      <c r="F175" s="1"/>
      <c r="G175" s="1"/>
      <c r="H175" s="2"/>
      <c r="I175" s="4"/>
      <c r="J175" s="2"/>
      <c r="K175" s="65"/>
      <c r="L175" s="38"/>
      <c r="M175" s="6"/>
      <c r="N175" s="6"/>
      <c r="O175" s="6"/>
      <c r="P175" s="6"/>
    </row>
    <row r="176" spans="1:16" ht="12.75" customHeight="1" x14ac:dyDescent="0.2">
      <c r="A176" s="64"/>
      <c r="B176" s="108"/>
      <c r="C176" s="11"/>
      <c r="D176" s="11"/>
      <c r="E176" s="1"/>
      <c r="F176" s="1"/>
      <c r="G176" s="1"/>
      <c r="H176" s="2"/>
      <c r="I176" s="4"/>
      <c r="J176" s="2"/>
      <c r="K176" s="65"/>
      <c r="L176" s="38"/>
      <c r="M176" s="6"/>
      <c r="N176" s="6"/>
      <c r="O176" s="6"/>
      <c r="P176" s="6"/>
    </row>
    <row r="177" spans="1:16" ht="12.75" customHeight="1" x14ac:dyDescent="0.2">
      <c r="A177" s="64"/>
      <c r="B177" s="108"/>
      <c r="C177" s="11"/>
      <c r="D177" s="11"/>
      <c r="E177" s="1"/>
      <c r="F177" s="1"/>
      <c r="G177" s="1"/>
      <c r="H177" s="2"/>
      <c r="I177" s="4"/>
      <c r="J177" s="2"/>
      <c r="K177" s="65"/>
      <c r="L177" s="38"/>
      <c r="M177" s="6"/>
      <c r="N177" s="6"/>
      <c r="O177" s="6"/>
      <c r="P177" s="6"/>
    </row>
    <row r="178" spans="1:16" x14ac:dyDescent="0.2">
      <c r="A178" s="64"/>
      <c r="B178" s="108"/>
      <c r="C178" s="1"/>
      <c r="D178" s="11"/>
      <c r="E178" s="1"/>
      <c r="F178" s="1"/>
      <c r="G178" s="1"/>
      <c r="H178" s="9"/>
      <c r="I178" s="14"/>
      <c r="J178" s="12"/>
      <c r="K178" s="66"/>
      <c r="L178" s="49"/>
      <c r="M178" s="56"/>
      <c r="N178" s="56"/>
      <c r="O178" s="56"/>
      <c r="P178" s="56"/>
    </row>
    <row r="179" spans="1:16" x14ac:dyDescent="0.2">
      <c r="A179" s="64"/>
      <c r="B179" s="108"/>
      <c r="C179" s="1"/>
      <c r="D179" s="11"/>
      <c r="E179" s="1"/>
      <c r="F179" s="1"/>
      <c r="G179" s="1"/>
      <c r="H179" s="9"/>
      <c r="I179" s="14"/>
      <c r="J179" s="12"/>
      <c r="K179" s="66"/>
      <c r="L179" s="49"/>
      <c r="M179" s="56"/>
      <c r="N179" s="56"/>
      <c r="O179" s="56"/>
      <c r="P179" s="56"/>
    </row>
    <row r="180" spans="1:16" x14ac:dyDescent="0.2">
      <c r="A180" s="64"/>
      <c r="B180" s="108"/>
      <c r="C180" s="1"/>
      <c r="D180" s="11"/>
      <c r="E180" s="1"/>
      <c r="F180" s="1"/>
      <c r="G180" s="1"/>
      <c r="H180" s="9"/>
      <c r="I180" s="14"/>
      <c r="J180" s="12"/>
      <c r="K180" s="66"/>
      <c r="L180" s="49"/>
      <c r="M180" s="56"/>
      <c r="N180" s="56"/>
      <c r="O180" s="56"/>
      <c r="P180" s="56"/>
    </row>
    <row r="181" spans="1:16" x14ac:dyDescent="0.2">
      <c r="A181" s="64"/>
      <c r="B181" s="108"/>
      <c r="C181" s="1"/>
      <c r="D181" s="11"/>
      <c r="E181" s="1"/>
      <c r="F181" s="1"/>
      <c r="G181" s="1"/>
      <c r="H181" s="9"/>
      <c r="I181" s="14"/>
      <c r="J181" s="12"/>
      <c r="K181" s="66"/>
      <c r="L181" s="49"/>
      <c r="M181" s="56"/>
      <c r="N181" s="56"/>
      <c r="O181" s="56"/>
      <c r="P181" s="56"/>
    </row>
    <row r="182" spans="1:16" x14ac:dyDescent="0.2">
      <c r="A182" s="64"/>
      <c r="B182" s="108"/>
      <c r="C182" s="1"/>
      <c r="D182" s="11"/>
      <c r="E182" s="1"/>
      <c r="F182" s="1"/>
      <c r="G182" s="1"/>
      <c r="H182" s="9"/>
      <c r="I182" s="14"/>
      <c r="J182" s="12"/>
      <c r="K182" s="66"/>
      <c r="L182" s="49"/>
      <c r="M182" s="56"/>
      <c r="N182" s="56"/>
      <c r="O182" s="56"/>
      <c r="P182" s="56"/>
    </row>
    <row r="183" spans="1:16" x14ac:dyDescent="0.2">
      <c r="A183" s="64"/>
      <c r="B183" s="108"/>
      <c r="C183" s="1"/>
      <c r="D183" s="11"/>
      <c r="E183" s="1"/>
      <c r="F183" s="1"/>
      <c r="G183" s="1"/>
      <c r="H183" s="9"/>
      <c r="I183" s="14"/>
      <c r="J183" s="12"/>
      <c r="K183" s="66"/>
      <c r="L183" s="49"/>
      <c r="M183" s="56"/>
      <c r="N183" s="56"/>
      <c r="O183" s="56"/>
      <c r="P183" s="56"/>
    </row>
    <row r="184" spans="1:16" x14ac:dyDescent="0.2">
      <c r="A184" s="64"/>
      <c r="B184" s="108"/>
      <c r="C184" s="1"/>
      <c r="D184" s="11"/>
      <c r="E184" s="1"/>
      <c r="F184" s="1"/>
      <c r="G184" s="1"/>
      <c r="H184" s="9"/>
      <c r="I184" s="14"/>
      <c r="J184" s="1"/>
      <c r="K184" s="66"/>
      <c r="L184" s="49"/>
      <c r="M184" s="56"/>
      <c r="N184" s="56"/>
      <c r="O184" s="56"/>
      <c r="P184" s="56"/>
    </row>
    <row r="185" spans="1:16" x14ac:dyDescent="0.2">
      <c r="A185" s="67"/>
      <c r="B185" s="96"/>
      <c r="C185" s="9"/>
      <c r="D185" s="9"/>
      <c r="E185" s="2"/>
      <c r="F185" s="2"/>
      <c r="G185" s="2"/>
      <c r="H185" s="9"/>
      <c r="I185" s="4"/>
      <c r="J185" s="2"/>
      <c r="K185" s="65"/>
      <c r="L185" s="38"/>
      <c r="M185" s="6"/>
      <c r="N185" s="6"/>
      <c r="O185" s="6"/>
      <c r="P185" s="6"/>
    </row>
    <row r="186" spans="1:16" x14ac:dyDescent="0.2">
      <c r="A186" s="67"/>
      <c r="B186" s="96"/>
      <c r="C186" s="9"/>
      <c r="D186" s="9"/>
      <c r="E186" s="2"/>
      <c r="F186" s="2"/>
      <c r="G186" s="2"/>
      <c r="H186" s="9"/>
      <c r="I186" s="13"/>
      <c r="J186" s="9"/>
      <c r="K186" s="65"/>
      <c r="L186" s="38"/>
      <c r="M186" s="6"/>
      <c r="N186" s="6"/>
      <c r="O186" s="6"/>
      <c r="P186" s="6"/>
    </row>
    <row r="187" spans="1:16" x14ac:dyDescent="0.2">
      <c r="A187" s="67"/>
      <c r="B187" s="96"/>
      <c r="C187" s="9"/>
      <c r="D187" s="9"/>
      <c r="E187" s="2"/>
      <c r="F187" s="2"/>
      <c r="G187" s="2"/>
      <c r="H187" s="9"/>
      <c r="I187" s="13"/>
      <c r="J187" s="9"/>
      <c r="K187" s="65"/>
      <c r="L187" s="38"/>
      <c r="M187" s="6"/>
      <c r="N187" s="6"/>
      <c r="O187" s="6"/>
      <c r="P187" s="6"/>
    </row>
    <row r="188" spans="1:16" x14ac:dyDescent="0.2">
      <c r="A188" s="67"/>
      <c r="B188" s="96"/>
      <c r="C188" s="9"/>
      <c r="D188" s="9"/>
      <c r="E188" s="2"/>
      <c r="F188" s="2"/>
      <c r="G188" s="2"/>
      <c r="H188" s="9"/>
      <c r="I188" s="13"/>
      <c r="J188" s="9"/>
      <c r="K188" s="65"/>
      <c r="L188" s="38"/>
      <c r="M188" s="6"/>
      <c r="N188" s="6"/>
      <c r="O188" s="6"/>
      <c r="P188" s="6"/>
    </row>
    <row r="189" spans="1:16" x14ac:dyDescent="0.2">
      <c r="A189" s="67"/>
      <c r="B189" s="96"/>
      <c r="C189" s="9"/>
      <c r="D189" s="9"/>
      <c r="E189" s="2"/>
      <c r="F189" s="2"/>
      <c r="G189" s="2"/>
      <c r="H189" s="9"/>
      <c r="I189" s="13"/>
      <c r="J189" s="9"/>
      <c r="K189" s="65"/>
      <c r="L189" s="38"/>
      <c r="M189" s="6"/>
      <c r="N189" s="6"/>
      <c r="O189" s="6"/>
      <c r="P189" s="6"/>
    </row>
    <row r="190" spans="1:16" x14ac:dyDescent="0.2">
      <c r="A190" s="67"/>
      <c r="B190" s="96"/>
      <c r="C190" s="9"/>
      <c r="D190" s="9"/>
      <c r="E190" s="2"/>
      <c r="F190" s="2"/>
      <c r="G190" s="2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2"/>
      <c r="F191" s="2"/>
      <c r="G191" s="2"/>
      <c r="H191" s="9"/>
      <c r="I191" s="13"/>
      <c r="J191" s="9"/>
      <c r="K191" s="68"/>
      <c r="L191" s="50"/>
      <c r="M191" s="57"/>
      <c r="N191" s="57"/>
      <c r="O191" s="57"/>
      <c r="P191" s="57"/>
    </row>
    <row r="192" spans="1:16" x14ac:dyDescent="0.2">
      <c r="A192" s="67"/>
      <c r="B192" s="96"/>
      <c r="C192" s="9"/>
      <c r="D192" s="9"/>
      <c r="E192" s="2"/>
      <c r="F192" s="2"/>
      <c r="G192" s="2"/>
      <c r="H192" s="9"/>
      <c r="I192" s="13"/>
      <c r="J192" s="9"/>
      <c r="K192" s="68"/>
      <c r="L192" s="50"/>
      <c r="M192" s="57"/>
      <c r="N192" s="57"/>
      <c r="O192" s="57"/>
      <c r="P192" s="57"/>
    </row>
    <row r="193" spans="1:16" x14ac:dyDescent="0.2">
      <c r="A193" s="67"/>
      <c r="B193" s="96"/>
      <c r="C193" s="9"/>
      <c r="D193" s="9"/>
      <c r="E193" s="2"/>
      <c r="F193" s="2"/>
      <c r="G193" s="2"/>
      <c r="H193" s="9"/>
      <c r="I193" s="13"/>
      <c r="J193" s="9"/>
      <c r="K193" s="68"/>
      <c r="L193" s="50"/>
      <c r="M193" s="57"/>
      <c r="N193" s="57"/>
      <c r="O193" s="57"/>
      <c r="P193" s="57"/>
    </row>
    <row r="194" spans="1:16" x14ac:dyDescent="0.2">
      <c r="A194" s="67"/>
      <c r="B194" s="96"/>
      <c r="C194" s="9"/>
      <c r="D194" s="9"/>
      <c r="E194" s="2"/>
      <c r="F194" s="2"/>
      <c r="G194" s="2"/>
      <c r="H194" s="9"/>
      <c r="I194" s="13"/>
      <c r="J194" s="9"/>
      <c r="K194" s="68"/>
      <c r="L194" s="50"/>
      <c r="M194" s="57"/>
      <c r="N194" s="57"/>
      <c r="O194" s="57"/>
      <c r="P194" s="57"/>
    </row>
    <row r="195" spans="1:16" x14ac:dyDescent="0.2">
      <c r="A195" s="67"/>
      <c r="B195" s="96"/>
      <c r="C195" s="9"/>
      <c r="D195" s="9"/>
      <c r="E195" s="17"/>
      <c r="F195" s="17"/>
      <c r="G195" s="17"/>
      <c r="H195" s="9"/>
      <c r="I195" s="13"/>
      <c r="J195" s="9"/>
      <c r="K195" s="68"/>
      <c r="L195" s="50"/>
      <c r="M195" s="57"/>
      <c r="N195" s="57"/>
      <c r="O195" s="57"/>
      <c r="P195" s="57"/>
    </row>
    <row r="196" spans="1:16" x14ac:dyDescent="0.2">
      <c r="A196" s="67"/>
      <c r="B196" s="96"/>
      <c r="C196" s="9"/>
      <c r="D196" s="9"/>
      <c r="E196" s="2"/>
      <c r="F196" s="2"/>
      <c r="G196" s="2"/>
      <c r="H196" s="9"/>
      <c r="I196" s="13"/>
      <c r="J196" s="9"/>
      <c r="K196" s="68"/>
      <c r="L196" s="50"/>
      <c r="M196" s="57"/>
      <c r="N196" s="57"/>
      <c r="O196" s="57"/>
      <c r="P196" s="57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6"/>
      <c r="P204" s="56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6"/>
      <c r="P205" s="56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6"/>
      <c r="P206" s="56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6"/>
      <c r="P207" s="56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6"/>
      <c r="P208" s="56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6"/>
      <c r="P209" s="56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6"/>
      <c r="P210" s="56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6"/>
      <c r="P211" s="56"/>
    </row>
    <row r="212" spans="1:16" ht="12.75" customHeight="1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6"/>
      <c r="P212" s="56"/>
    </row>
    <row r="213" spans="1:16" ht="12.75" customHeight="1" x14ac:dyDescent="0.2">
      <c r="A213" s="67"/>
      <c r="B213" s="96"/>
      <c r="C213" s="9"/>
      <c r="D213" s="9"/>
      <c r="E213" s="9"/>
      <c r="F213" s="9"/>
      <c r="G213" s="9"/>
      <c r="H213" s="9"/>
      <c r="I213" s="13"/>
      <c r="J213" s="9"/>
      <c r="K213" s="66"/>
      <c r="L213" s="49"/>
      <c r="M213" s="56"/>
      <c r="N213" s="56"/>
      <c r="O213" s="56"/>
      <c r="P213" s="56"/>
    </row>
    <row r="214" spans="1:16" ht="12.75" customHeight="1" x14ac:dyDescent="0.2">
      <c r="A214" s="67"/>
      <c r="B214" s="96"/>
      <c r="C214" s="9"/>
      <c r="D214" s="9"/>
      <c r="E214" s="9"/>
      <c r="F214" s="9"/>
      <c r="G214" s="9"/>
      <c r="H214" s="9"/>
      <c r="I214" s="13"/>
      <c r="J214" s="9"/>
      <c r="K214" s="66"/>
      <c r="L214" s="49"/>
      <c r="M214" s="56"/>
      <c r="N214" s="56"/>
      <c r="O214" s="56"/>
      <c r="P214" s="56"/>
    </row>
    <row r="215" spans="1:16" x14ac:dyDescent="0.2">
      <c r="A215" s="67"/>
      <c r="B215" s="96"/>
      <c r="C215" s="9"/>
      <c r="D215" s="9"/>
      <c r="E215" s="9"/>
      <c r="F215" s="9"/>
      <c r="G215" s="9"/>
      <c r="H215" s="9"/>
      <c r="I215" s="13"/>
      <c r="J215" s="9"/>
      <c r="K215" s="66"/>
      <c r="L215" s="49"/>
      <c r="M215" s="56"/>
      <c r="N215" s="56"/>
      <c r="O215" s="56"/>
      <c r="P215" s="56"/>
    </row>
    <row r="216" spans="1:16" x14ac:dyDescent="0.2">
      <c r="A216" s="67"/>
      <c r="B216" s="96"/>
      <c r="C216" s="9"/>
      <c r="D216" s="9"/>
      <c r="E216" s="9"/>
      <c r="F216" s="9"/>
      <c r="G216" s="9"/>
      <c r="H216" s="9"/>
      <c r="I216" s="13"/>
      <c r="J216" s="9"/>
      <c r="K216" s="66"/>
      <c r="L216" s="49"/>
      <c r="M216" s="56"/>
      <c r="N216" s="56"/>
      <c r="O216" s="56"/>
      <c r="P216" s="56"/>
    </row>
    <row r="217" spans="1:16" x14ac:dyDescent="0.2">
      <c r="A217" s="67"/>
      <c r="B217" s="96"/>
      <c r="C217" s="9"/>
      <c r="D217" s="9"/>
      <c r="E217" s="9"/>
      <c r="F217" s="9"/>
      <c r="G217" s="9"/>
      <c r="H217" s="9"/>
      <c r="I217" s="13"/>
      <c r="J217" s="9"/>
      <c r="K217" s="66"/>
      <c r="L217" s="49"/>
      <c r="M217" s="56"/>
      <c r="N217" s="56"/>
      <c r="O217" s="56"/>
      <c r="P217" s="56"/>
    </row>
    <row r="218" spans="1:16" x14ac:dyDescent="0.2">
      <c r="A218" s="67"/>
      <c r="B218" s="96"/>
      <c r="C218" s="9"/>
      <c r="D218" s="9"/>
      <c r="E218" s="9"/>
      <c r="F218" s="9"/>
      <c r="G218" s="9"/>
      <c r="H218" s="9"/>
      <c r="I218" s="13"/>
      <c r="J218" s="9"/>
      <c r="K218" s="66"/>
      <c r="L218" s="49"/>
      <c r="M218" s="56"/>
      <c r="N218" s="56"/>
      <c r="O218" s="56"/>
      <c r="P218" s="56"/>
    </row>
    <row r="219" spans="1:16" x14ac:dyDescent="0.2">
      <c r="A219" s="67"/>
      <c r="B219" s="96"/>
      <c r="C219" s="9"/>
      <c r="D219" s="9"/>
      <c r="E219" s="9"/>
      <c r="F219" s="9"/>
      <c r="G219" s="9"/>
      <c r="H219" s="9"/>
      <c r="I219" s="13"/>
      <c r="J219" s="9"/>
      <c r="K219" s="66"/>
      <c r="L219" s="49"/>
      <c r="M219" s="56"/>
      <c r="N219" s="56"/>
      <c r="O219" s="56"/>
      <c r="P219" s="56"/>
    </row>
    <row r="220" spans="1:16" x14ac:dyDescent="0.2">
      <c r="A220" s="67"/>
      <c r="B220" s="96"/>
      <c r="C220" s="9"/>
      <c r="D220" s="9"/>
      <c r="E220" s="9"/>
      <c r="F220" s="9"/>
      <c r="G220" s="9"/>
      <c r="H220" s="9"/>
      <c r="I220" s="13"/>
      <c r="J220" s="9"/>
      <c r="K220" s="66"/>
      <c r="L220" s="49"/>
      <c r="M220" s="56"/>
      <c r="N220" s="56"/>
      <c r="O220" s="56"/>
      <c r="P220" s="56"/>
    </row>
    <row r="221" spans="1:16" x14ac:dyDescent="0.2">
      <c r="A221" s="67"/>
      <c r="B221" s="96"/>
      <c r="C221" s="9"/>
      <c r="D221" s="9"/>
      <c r="E221" s="9"/>
      <c r="F221" s="9"/>
      <c r="G221" s="9"/>
      <c r="H221" s="9"/>
      <c r="I221" s="13"/>
      <c r="J221" s="9"/>
      <c r="K221" s="66"/>
      <c r="L221" s="49"/>
      <c r="M221" s="56"/>
      <c r="N221" s="56"/>
      <c r="O221" s="56"/>
      <c r="P221" s="56"/>
    </row>
    <row r="222" spans="1:16" x14ac:dyDescent="0.2">
      <c r="A222" s="67"/>
      <c r="B222" s="96"/>
      <c r="C222" s="9"/>
      <c r="D222" s="9"/>
      <c r="E222" s="9"/>
      <c r="F222" s="9"/>
      <c r="G222" s="9"/>
      <c r="H222" s="9"/>
      <c r="I222" s="13"/>
      <c r="J222" s="9"/>
      <c r="K222" s="66"/>
      <c r="L222" s="49"/>
      <c r="M222" s="56"/>
      <c r="N222" s="56"/>
      <c r="O222" s="56"/>
      <c r="P222" s="56"/>
    </row>
    <row r="223" spans="1:16" x14ac:dyDescent="0.2">
      <c r="A223" s="67"/>
      <c r="B223" s="96"/>
      <c r="C223" s="9"/>
      <c r="D223" s="9"/>
      <c r="E223" s="9"/>
      <c r="F223" s="9"/>
      <c r="G223" s="9"/>
      <c r="H223" s="9"/>
      <c r="I223" s="13"/>
      <c r="J223" s="9"/>
      <c r="K223" s="66"/>
      <c r="L223" s="49"/>
      <c r="M223" s="56"/>
      <c r="N223" s="56"/>
      <c r="O223" s="56"/>
      <c r="P223" s="56"/>
    </row>
    <row r="224" spans="1:16" x14ac:dyDescent="0.2">
      <c r="A224" s="67"/>
      <c r="B224" s="96"/>
      <c r="C224" s="9"/>
      <c r="D224" s="9"/>
      <c r="E224" s="9"/>
      <c r="F224" s="9"/>
      <c r="G224" s="9"/>
      <c r="H224" s="9"/>
      <c r="I224" s="13"/>
      <c r="J224" s="9"/>
      <c r="K224" s="66"/>
      <c r="L224" s="49"/>
      <c r="M224" s="56"/>
      <c r="N224" s="56"/>
      <c r="O224" s="56"/>
      <c r="P224" s="56"/>
    </row>
    <row r="225" spans="1:16" x14ac:dyDescent="0.2">
      <c r="A225" s="67"/>
      <c r="B225" s="96"/>
      <c r="C225" s="9"/>
      <c r="D225" s="9"/>
      <c r="E225" s="9"/>
      <c r="F225" s="9"/>
      <c r="G225" s="9"/>
      <c r="H225" s="9"/>
      <c r="I225" s="13"/>
      <c r="J225" s="9"/>
      <c r="K225" s="66"/>
      <c r="L225" s="49"/>
      <c r="M225" s="56"/>
      <c r="N225" s="56"/>
      <c r="O225" s="56"/>
      <c r="P225" s="56"/>
    </row>
    <row r="226" spans="1:16" x14ac:dyDescent="0.2">
      <c r="A226" s="67"/>
      <c r="B226" s="96"/>
      <c r="C226" s="9"/>
      <c r="D226" s="9"/>
      <c r="E226" s="9"/>
      <c r="F226" s="9"/>
      <c r="G226" s="9"/>
      <c r="H226" s="9"/>
      <c r="I226" s="13"/>
      <c r="J226" s="9"/>
      <c r="K226" s="66"/>
      <c r="L226" s="49"/>
      <c r="M226" s="56"/>
      <c r="N226" s="56"/>
      <c r="O226" s="56"/>
      <c r="P226" s="56"/>
    </row>
    <row r="227" spans="1:16" x14ac:dyDescent="0.2">
      <c r="A227" s="67"/>
      <c r="B227" s="96"/>
      <c r="C227" s="9"/>
      <c r="D227" s="9"/>
      <c r="E227" s="9"/>
      <c r="F227" s="9"/>
      <c r="G227" s="9"/>
      <c r="H227" s="9"/>
      <c r="I227" s="13"/>
      <c r="J227" s="9"/>
      <c r="K227" s="66"/>
      <c r="L227" s="49"/>
      <c r="M227" s="56"/>
      <c r="N227" s="56"/>
      <c r="O227" s="56"/>
      <c r="P227" s="56"/>
    </row>
    <row r="228" spans="1:16" x14ac:dyDescent="0.2">
      <c r="A228" s="67"/>
      <c r="B228" s="96"/>
      <c r="C228" s="9"/>
      <c r="D228" s="9"/>
      <c r="E228" s="9"/>
      <c r="F228" s="9"/>
      <c r="G228" s="9"/>
      <c r="H228" s="9"/>
      <c r="I228" s="13"/>
      <c r="J228" s="9"/>
      <c r="K228" s="66"/>
      <c r="L228" s="49"/>
      <c r="M228" s="56"/>
      <c r="N228" s="56"/>
      <c r="O228" s="56"/>
      <c r="P228" s="56"/>
    </row>
    <row r="229" spans="1:16" x14ac:dyDescent="0.2">
      <c r="A229" s="67"/>
      <c r="B229" s="96"/>
      <c r="C229" s="9"/>
      <c r="D229" s="9"/>
      <c r="E229" s="9"/>
      <c r="F229" s="9"/>
      <c r="G229" s="9"/>
      <c r="H229" s="9"/>
      <c r="I229" s="13"/>
      <c r="J229" s="9"/>
      <c r="K229" s="66"/>
      <c r="L229" s="49"/>
      <c r="M229" s="56"/>
      <c r="N229" s="56"/>
      <c r="O229" s="56"/>
      <c r="P229" s="56"/>
    </row>
    <row r="230" spans="1:16" x14ac:dyDescent="0.2">
      <c r="A230" s="67"/>
      <c r="B230" s="96"/>
      <c r="C230" s="9"/>
      <c r="D230" s="9"/>
      <c r="E230" s="9"/>
      <c r="F230" s="9"/>
      <c r="G230" s="9"/>
      <c r="H230" s="9"/>
      <c r="I230" s="13"/>
      <c r="J230" s="9"/>
      <c r="K230" s="66"/>
      <c r="L230" s="49"/>
      <c r="M230" s="56"/>
      <c r="N230" s="56"/>
      <c r="O230" s="56"/>
      <c r="P230" s="56"/>
    </row>
    <row r="231" spans="1:16" x14ac:dyDescent="0.2">
      <c r="A231" s="67"/>
      <c r="B231" s="96"/>
      <c r="C231" s="9"/>
      <c r="D231" s="9"/>
      <c r="E231" s="9"/>
      <c r="F231" s="9"/>
      <c r="G231" s="9"/>
      <c r="H231" s="9"/>
      <c r="I231" s="13"/>
      <c r="J231" s="9"/>
      <c r="K231" s="66"/>
      <c r="L231" s="49"/>
      <c r="M231" s="56"/>
      <c r="N231" s="56"/>
      <c r="O231" s="56"/>
      <c r="P231" s="56"/>
    </row>
    <row r="232" spans="1:16" x14ac:dyDescent="0.2">
      <c r="A232" s="67"/>
      <c r="B232" s="96"/>
      <c r="C232" s="9"/>
      <c r="D232" s="9"/>
      <c r="E232" s="9"/>
      <c r="F232" s="9"/>
      <c r="G232" s="9"/>
      <c r="H232" s="9"/>
      <c r="I232" s="13"/>
      <c r="J232" s="9"/>
      <c r="K232" s="66"/>
      <c r="L232" s="49"/>
      <c r="M232" s="56"/>
      <c r="N232" s="56"/>
      <c r="O232" s="56"/>
      <c r="P232" s="56"/>
    </row>
    <row r="233" spans="1:16" x14ac:dyDescent="0.2">
      <c r="A233" s="67"/>
      <c r="B233" s="96"/>
      <c r="C233" s="9"/>
      <c r="D233" s="9"/>
      <c r="E233" s="9"/>
      <c r="F233" s="9"/>
      <c r="G233" s="9"/>
      <c r="H233" s="9"/>
      <c r="I233" s="13"/>
      <c r="J233" s="9"/>
      <c r="K233" s="66"/>
      <c r="L233" s="49"/>
      <c r="M233" s="56"/>
      <c r="N233" s="56"/>
      <c r="O233" s="58"/>
      <c r="P233" s="58"/>
    </row>
    <row r="234" spans="1:16" x14ac:dyDescent="0.2">
      <c r="A234" s="67"/>
      <c r="B234" s="96"/>
      <c r="C234" s="9"/>
      <c r="D234" s="9"/>
      <c r="E234" s="9"/>
      <c r="F234" s="9"/>
      <c r="G234" s="9"/>
      <c r="H234" s="9"/>
      <c r="I234" s="13"/>
      <c r="J234" s="9"/>
      <c r="K234" s="66"/>
      <c r="L234" s="49"/>
      <c r="M234" s="56"/>
      <c r="N234" s="56"/>
      <c r="O234" s="58"/>
      <c r="P234" s="58"/>
    </row>
    <row r="235" spans="1:16" x14ac:dyDescent="0.2">
      <c r="A235" s="67"/>
      <c r="B235" s="96"/>
      <c r="C235" s="9"/>
      <c r="D235" s="9"/>
      <c r="E235" s="9"/>
      <c r="F235" s="9"/>
      <c r="G235" s="9"/>
      <c r="H235" s="9"/>
      <c r="I235" s="13"/>
      <c r="J235" s="9"/>
      <c r="K235" s="66"/>
      <c r="L235" s="49"/>
      <c r="M235" s="56"/>
      <c r="N235" s="56"/>
      <c r="O235" s="58"/>
      <c r="P235" s="58"/>
    </row>
    <row r="236" spans="1:16" x14ac:dyDescent="0.2">
      <c r="A236" s="67"/>
      <c r="B236" s="96"/>
      <c r="C236" s="9"/>
      <c r="D236" s="9"/>
      <c r="E236" s="9"/>
      <c r="F236" s="9"/>
      <c r="G236" s="9"/>
      <c r="H236" s="9"/>
      <c r="I236" s="13"/>
      <c r="J236" s="9"/>
      <c r="K236" s="66"/>
      <c r="L236" s="49"/>
      <c r="M236" s="56"/>
      <c r="N236" s="56"/>
      <c r="O236" s="58"/>
      <c r="P236" s="58"/>
    </row>
    <row r="237" spans="1:16" x14ac:dyDescent="0.2">
      <c r="A237" s="67"/>
      <c r="B237" s="96"/>
      <c r="C237" s="9"/>
      <c r="D237" s="9"/>
      <c r="E237" s="9"/>
      <c r="F237" s="9"/>
      <c r="G237" s="9"/>
      <c r="H237" s="9"/>
      <c r="I237" s="13"/>
      <c r="J237" s="9"/>
      <c r="K237" s="66"/>
      <c r="L237" s="49"/>
      <c r="M237" s="56"/>
      <c r="N237" s="56"/>
      <c r="O237" s="58"/>
      <c r="P237" s="58"/>
    </row>
    <row r="238" spans="1:16" x14ac:dyDescent="0.2">
      <c r="A238" s="67"/>
      <c r="B238" s="96"/>
      <c r="C238" s="9"/>
      <c r="D238" s="9"/>
      <c r="E238" s="9"/>
      <c r="F238" s="9"/>
      <c r="G238" s="9"/>
      <c r="H238" s="9"/>
      <c r="I238" s="13"/>
      <c r="J238" s="9"/>
      <c r="K238" s="66"/>
      <c r="L238" s="49"/>
      <c r="M238" s="56"/>
      <c r="N238" s="56"/>
      <c r="O238" s="58"/>
      <c r="P238" s="58"/>
    </row>
    <row r="239" spans="1:16" x14ac:dyDescent="0.2">
      <c r="A239" s="67"/>
      <c r="B239" s="96"/>
      <c r="C239" s="9"/>
      <c r="D239" s="9"/>
      <c r="E239" s="9"/>
      <c r="F239" s="9"/>
      <c r="G239" s="9"/>
      <c r="H239" s="9"/>
      <c r="I239" s="13"/>
      <c r="J239" s="9"/>
      <c r="K239" s="66"/>
      <c r="L239" s="49"/>
      <c r="M239" s="56"/>
      <c r="N239" s="56"/>
      <c r="O239" s="58"/>
      <c r="P239" s="58"/>
    </row>
    <row r="240" spans="1:16" x14ac:dyDescent="0.2">
      <c r="A240" s="67"/>
      <c r="B240" s="96"/>
      <c r="C240" s="9"/>
      <c r="D240" s="9"/>
      <c r="E240" s="9"/>
      <c r="F240" s="9"/>
      <c r="G240" s="9"/>
      <c r="H240" s="9"/>
      <c r="I240" s="13"/>
      <c r="J240" s="9"/>
      <c r="K240" s="66"/>
      <c r="L240" s="49"/>
      <c r="M240" s="56"/>
      <c r="N240" s="56"/>
      <c r="O240" s="58"/>
      <c r="P240" s="58"/>
    </row>
    <row r="241" spans="1:16" x14ac:dyDescent="0.2">
      <c r="A241" s="67"/>
      <c r="B241" s="96"/>
      <c r="C241" s="9"/>
      <c r="D241" s="9"/>
      <c r="E241" s="9"/>
      <c r="F241" s="9"/>
      <c r="G241" s="9"/>
      <c r="H241" s="9"/>
      <c r="I241" s="13"/>
      <c r="J241" s="9"/>
      <c r="K241" s="66"/>
      <c r="L241" s="49"/>
      <c r="M241" s="56"/>
      <c r="N241" s="56"/>
      <c r="O241" s="58"/>
      <c r="P241" s="58"/>
    </row>
    <row r="242" spans="1:16" ht="13.5" thickBot="1" x14ac:dyDescent="0.25">
      <c r="A242" s="69"/>
      <c r="B242" s="109"/>
      <c r="C242" s="70"/>
      <c r="D242" s="70"/>
      <c r="E242" s="70"/>
      <c r="F242" s="70"/>
      <c r="G242" s="70"/>
      <c r="H242" s="70"/>
      <c r="I242" s="71"/>
      <c r="J242" s="70"/>
      <c r="K242" s="72"/>
      <c r="L242" s="49"/>
      <c r="M242" s="56"/>
      <c r="N242" s="56"/>
      <c r="O242" s="58"/>
      <c r="P242" s="58"/>
    </row>
  </sheetData>
  <autoFilter ref="A17:WWB48"/>
  <mergeCells count="1">
    <mergeCell ref="H16:K16"/>
  </mergeCells>
  <conditionalFormatting sqref="H16:I16">
    <cfRule type="cellIs" dxfId="5" priority="1" stopIfTrue="1" operator="notEqual">
      <formula>""</formula>
    </cfRule>
  </conditionalFormatting>
  <conditionalFormatting sqref="D12">
    <cfRule type="cellIs" dxfId="4" priority="2" stopIfTrue="1" operator="equal">
      <formula>"Explanation"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16"/>
  <sheetViews>
    <sheetView workbookViewId="0">
      <selection activeCell="C10" sqref="C10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42578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42578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42578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42578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42578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42578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42578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42578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42578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42578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42578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42578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42578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42578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42578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42578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42578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42578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42578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42578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42578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42578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42578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42578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42578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42578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42578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42578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42578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42578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42578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42578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42578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42578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42578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42578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42578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42578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42578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42578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42578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42578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42578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42578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42578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42578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42578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42578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42578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42578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42578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42578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42578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42578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42578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42578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42578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42578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42578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42578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42578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42578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42578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167</v>
      </c>
      <c r="D4" s="22"/>
      <c r="E4" s="22"/>
      <c r="F4" s="22"/>
      <c r="G4" s="23" t="s">
        <v>166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49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48" t="s">
        <v>170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49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49" t="s">
        <v>168</v>
      </c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49" t="s">
        <v>169</v>
      </c>
      <c r="D10" s="36"/>
      <c r="G10" s="20"/>
      <c r="I10" s="98"/>
      <c r="J10" s="97"/>
      <c r="L10" s="117"/>
      <c r="M10" s="117"/>
      <c r="N10" s="117"/>
      <c r="O10" s="117"/>
      <c r="P10" s="117"/>
      <c r="Q10" s="24"/>
    </row>
    <row r="11" spans="1:17" ht="15" x14ac:dyDescent="0.2">
      <c r="A11" s="51" t="s">
        <v>9</v>
      </c>
      <c r="B11" s="83" t="s">
        <v>33</v>
      </c>
      <c r="C11" s="34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17"/>
      <c r="M11" s="117"/>
      <c r="N11" s="117"/>
      <c r="O11" s="117"/>
      <c r="P11" s="117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17"/>
      <c r="M12" s="117"/>
      <c r="N12" s="117"/>
      <c r="O12" s="117"/>
      <c r="P12" s="117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68" t="s">
        <v>25</v>
      </c>
      <c r="I16" s="168"/>
      <c r="J16" s="169"/>
      <c r="K16" s="169"/>
      <c r="L16" s="47"/>
      <c r="M16" s="47"/>
      <c r="N16" s="47"/>
      <c r="O16" s="47"/>
      <c r="P16" s="47"/>
      <c r="Q16" s="24"/>
    </row>
    <row r="17" spans="1:22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46" t="s">
        <v>161</v>
      </c>
    </row>
    <row r="18" spans="1:22" x14ac:dyDescent="0.2">
      <c r="A18" s="112" t="s">
        <v>124</v>
      </c>
      <c r="B18" s="112"/>
      <c r="C18" s="119" t="s">
        <v>133</v>
      </c>
      <c r="D18" s="120" t="s">
        <v>125</v>
      </c>
      <c r="E18" s="119" t="s">
        <v>129</v>
      </c>
      <c r="F18" s="113"/>
      <c r="G18" s="113" t="s">
        <v>73</v>
      </c>
      <c r="H18" s="118"/>
      <c r="I18" s="121">
        <v>14.863099999999999</v>
      </c>
      <c r="J18" s="122">
        <v>22</v>
      </c>
      <c r="K18" s="115">
        <f t="shared" ref="K18:K21" si="0">J18*I18</f>
        <v>326.98820000000001</v>
      </c>
      <c r="L18" s="38"/>
      <c r="M18" s="114">
        <v>86</v>
      </c>
      <c r="N18" s="115">
        <f t="shared" ref="N18:N21" si="1">S18</f>
        <v>20</v>
      </c>
      <c r="O18" s="6"/>
      <c r="P18" s="123" t="s">
        <v>128</v>
      </c>
      <c r="Q18" s="116" t="s">
        <v>160</v>
      </c>
      <c r="R18" s="144">
        <f t="shared" ref="R18:R24" si="2">M18*0.7</f>
        <v>60.199999999999996</v>
      </c>
      <c r="S18" s="144">
        <v>20</v>
      </c>
    </row>
    <row r="19" spans="1:22" x14ac:dyDescent="0.2">
      <c r="A19" s="112" t="s">
        <v>124</v>
      </c>
      <c r="B19" s="112"/>
      <c r="C19" s="119" t="s">
        <v>157</v>
      </c>
      <c r="D19" s="120" t="s">
        <v>134</v>
      </c>
      <c r="E19" s="119" t="s">
        <v>130</v>
      </c>
      <c r="F19" s="113"/>
      <c r="G19" s="113" t="s">
        <v>73</v>
      </c>
      <c r="H19" s="118"/>
      <c r="I19" s="121">
        <v>6.2949000000000002</v>
      </c>
      <c r="J19" s="122">
        <v>29</v>
      </c>
      <c r="K19" s="115">
        <f t="shared" si="0"/>
        <v>182.5521</v>
      </c>
      <c r="L19" s="38"/>
      <c r="M19" s="114">
        <v>92</v>
      </c>
      <c r="N19" s="115">
        <f t="shared" si="1"/>
        <v>10</v>
      </c>
      <c r="O19" s="6"/>
      <c r="P19" s="122" t="s">
        <v>127</v>
      </c>
      <c r="Q19" s="116" t="s">
        <v>140</v>
      </c>
      <c r="R19" s="143">
        <f t="shared" si="2"/>
        <v>64.399999999999991</v>
      </c>
      <c r="S19" s="143">
        <v>10</v>
      </c>
      <c r="T19" s="145"/>
      <c r="U19" s="145"/>
      <c r="V19" s="145"/>
    </row>
    <row r="20" spans="1:22" s="33" customFormat="1" ht="12.75" customHeight="1" x14ac:dyDescent="0.2">
      <c r="A20" s="112" t="s">
        <v>124</v>
      </c>
      <c r="B20" s="11"/>
      <c r="C20" s="119" t="s">
        <v>158</v>
      </c>
      <c r="D20" s="120" t="s">
        <v>134</v>
      </c>
      <c r="E20" s="119" t="s">
        <v>131</v>
      </c>
      <c r="F20" s="2"/>
      <c r="G20" s="113" t="s">
        <v>73</v>
      </c>
      <c r="H20" s="2"/>
      <c r="I20" s="121">
        <v>6.5487000000000002</v>
      </c>
      <c r="J20" s="122">
        <v>11</v>
      </c>
      <c r="K20" s="115">
        <f t="shared" si="0"/>
        <v>72.035700000000006</v>
      </c>
      <c r="L20" s="38"/>
      <c r="M20" s="114">
        <v>60</v>
      </c>
      <c r="N20" s="115">
        <f t="shared" si="1"/>
        <v>15</v>
      </c>
      <c r="O20" s="6"/>
      <c r="P20" s="122" t="s">
        <v>127</v>
      </c>
      <c r="Q20" s="116" t="s">
        <v>144</v>
      </c>
      <c r="R20" s="143">
        <f t="shared" si="2"/>
        <v>42</v>
      </c>
      <c r="S20" s="143">
        <v>15</v>
      </c>
    </row>
    <row r="21" spans="1:22" ht="12.75" customHeight="1" x14ac:dyDescent="0.2">
      <c r="A21" s="112" t="s">
        <v>124</v>
      </c>
      <c r="B21" s="11"/>
      <c r="C21" s="119" t="s">
        <v>156</v>
      </c>
      <c r="D21" s="120" t="s">
        <v>135</v>
      </c>
      <c r="E21" s="119" t="s">
        <v>132</v>
      </c>
      <c r="F21" s="2"/>
      <c r="G21" s="113" t="s">
        <v>73</v>
      </c>
      <c r="H21" s="2"/>
      <c r="I21" s="121">
        <v>2.7212999999999998</v>
      </c>
      <c r="J21" s="122">
        <v>11</v>
      </c>
      <c r="K21" s="115">
        <f t="shared" si="0"/>
        <v>29.934299999999997</v>
      </c>
      <c r="L21" s="38"/>
      <c r="M21" s="6">
        <v>0</v>
      </c>
      <c r="N21" s="115">
        <f t="shared" si="1"/>
        <v>1</v>
      </c>
      <c r="O21" s="6"/>
      <c r="P21" s="122" t="s">
        <v>127</v>
      </c>
      <c r="Q21" s="116" t="s">
        <v>145</v>
      </c>
      <c r="R21" s="143">
        <f t="shared" si="2"/>
        <v>0</v>
      </c>
      <c r="S21" s="143">
        <v>1</v>
      </c>
    </row>
    <row r="22" spans="1:22" s="33" customFormat="1" x14ac:dyDescent="0.2">
      <c r="A22" s="124"/>
      <c r="B22" s="11"/>
      <c r="C22" s="135"/>
      <c r="D22" s="128"/>
      <c r="E22" s="132"/>
      <c r="F22" s="129"/>
      <c r="G22" s="133"/>
      <c r="H22" s="129"/>
      <c r="I22" s="137"/>
      <c r="J22" s="138"/>
      <c r="K22" s="115"/>
      <c r="L22" s="38"/>
      <c r="M22" s="131"/>
      <c r="N22" s="115"/>
      <c r="O22" s="131"/>
      <c r="P22" s="130"/>
      <c r="Q22" s="134"/>
      <c r="R22" s="143">
        <f t="shared" si="2"/>
        <v>0</v>
      </c>
      <c r="S22" s="143">
        <v>5</v>
      </c>
    </row>
    <row r="23" spans="1:22" s="33" customFormat="1" x14ac:dyDescent="0.2">
      <c r="A23" s="124"/>
      <c r="B23" s="127"/>
      <c r="C23" s="136"/>
      <c r="D23" s="128"/>
      <c r="E23" s="136"/>
      <c r="F23" s="129"/>
      <c r="G23" s="133"/>
      <c r="H23" s="129"/>
      <c r="I23" s="137"/>
      <c r="J23" s="138"/>
      <c r="K23" s="115"/>
      <c r="L23" s="38"/>
      <c r="M23" s="131"/>
      <c r="N23" s="115"/>
      <c r="O23" s="131"/>
      <c r="P23" s="130"/>
      <c r="Q23" s="134"/>
      <c r="R23" s="143">
        <f t="shared" si="2"/>
        <v>0</v>
      </c>
      <c r="S23" s="143">
        <v>5</v>
      </c>
    </row>
    <row r="24" spans="1:22" s="33" customFormat="1" ht="15" x14ac:dyDescent="0.25">
      <c r="A24" s="124"/>
      <c r="B24" s="127"/>
      <c r="C24" s="136"/>
      <c r="D24" s="128"/>
      <c r="E24" s="136"/>
      <c r="F24" s="129"/>
      <c r="G24" s="133"/>
      <c r="H24" s="129"/>
      <c r="I24" s="137"/>
      <c r="J24" s="138"/>
      <c r="K24" s="115"/>
      <c r="L24" s="38"/>
      <c r="M24" s="131"/>
      <c r="N24" s="115"/>
      <c r="O24" s="131"/>
      <c r="P24" s="130"/>
      <c r="Q24" s="126"/>
      <c r="R24" s="143">
        <f t="shared" si="2"/>
        <v>0</v>
      </c>
      <c r="S24" s="143">
        <v>5</v>
      </c>
    </row>
    <row r="25" spans="1:22" s="33" customFormat="1" ht="15.75" customHeight="1" x14ac:dyDescent="0.2">
      <c r="A25" s="64"/>
      <c r="B25" s="108"/>
      <c r="C25" s="11"/>
      <c r="D25" s="11"/>
      <c r="E25" s="2"/>
      <c r="F25" s="2"/>
      <c r="G25" s="2"/>
      <c r="H25" s="3"/>
      <c r="I25" s="4"/>
      <c r="J25" s="5"/>
      <c r="K25" s="65"/>
      <c r="L25" s="38"/>
      <c r="M25" s="6"/>
      <c r="N25" s="6"/>
      <c r="O25" s="6"/>
      <c r="P25" s="6"/>
    </row>
    <row r="26" spans="1:22" x14ac:dyDescent="0.2">
      <c r="A26" s="64"/>
      <c r="B26" s="108"/>
      <c r="C26" s="2"/>
      <c r="D26" s="11"/>
      <c r="E26" s="2"/>
      <c r="F26" s="2"/>
      <c r="G26" s="2"/>
      <c r="H26" s="2"/>
      <c r="I26" s="4"/>
      <c r="J26" s="5"/>
      <c r="K26" s="65"/>
      <c r="L26" s="38"/>
      <c r="M26" s="6"/>
      <c r="N26" s="6"/>
      <c r="O26" s="6"/>
      <c r="P26" s="6"/>
    </row>
    <row r="27" spans="1:22" s="34" customFormat="1" x14ac:dyDescent="0.2">
      <c r="A27" s="64"/>
      <c r="B27" s="108"/>
      <c r="C27" s="2"/>
      <c r="D27" s="11"/>
      <c r="E27" s="2"/>
      <c r="F27" s="2"/>
      <c r="G27" s="2"/>
      <c r="H27" s="2"/>
      <c r="I27" s="4"/>
      <c r="J27" s="5"/>
      <c r="K27" s="65"/>
      <c r="L27" s="38"/>
      <c r="M27" s="6"/>
      <c r="N27" s="6"/>
      <c r="O27" s="6"/>
      <c r="P27" s="6"/>
    </row>
    <row r="28" spans="1:22" s="34" customFormat="1" x14ac:dyDescent="0.2">
      <c r="A28" s="64"/>
      <c r="B28" s="108"/>
      <c r="C28" s="2"/>
      <c r="D28" s="11"/>
      <c r="E28" s="2"/>
      <c r="F28" s="2"/>
      <c r="G28" s="2"/>
      <c r="H28" s="2"/>
      <c r="I28" s="4"/>
      <c r="J28" s="5"/>
      <c r="K28" s="65"/>
      <c r="L28" s="38"/>
      <c r="M28" s="6"/>
      <c r="N28" s="6"/>
      <c r="O28" s="6"/>
      <c r="P28" s="6"/>
    </row>
    <row r="29" spans="1:22" s="34" customFormat="1" x14ac:dyDescent="0.2">
      <c r="A29" s="64"/>
      <c r="B29" s="108"/>
      <c r="C29" s="2"/>
      <c r="D29" s="11"/>
      <c r="E29" s="2"/>
      <c r="F29" s="2"/>
      <c r="G29" s="2"/>
      <c r="H29" s="2"/>
      <c r="I29" s="4"/>
      <c r="J29" s="5"/>
      <c r="K29" s="65"/>
      <c r="L29" s="38"/>
      <c r="M29" s="6"/>
      <c r="N29" s="6"/>
      <c r="O29" s="6"/>
      <c r="P29" s="6"/>
    </row>
    <row r="30" spans="1:22" s="34" customFormat="1" x14ac:dyDescent="0.2">
      <c r="A30" s="64"/>
      <c r="B30" s="108"/>
      <c r="C30" s="2"/>
      <c r="D30" s="11"/>
      <c r="E30" s="2"/>
      <c r="F30" s="2"/>
      <c r="G30" s="2"/>
      <c r="H30" s="2"/>
      <c r="I30" s="4"/>
      <c r="J30" s="5"/>
      <c r="K30" s="65"/>
      <c r="L30" s="38"/>
      <c r="M30" s="6"/>
      <c r="N30" s="6"/>
      <c r="O30" s="6"/>
      <c r="P30" s="6"/>
    </row>
    <row r="31" spans="1:22" s="34" customFormat="1" x14ac:dyDescent="0.2">
      <c r="A31" s="64"/>
      <c r="B31" s="108"/>
      <c r="C31" s="2"/>
      <c r="D31" s="11"/>
      <c r="E31" s="2"/>
      <c r="F31" s="2"/>
      <c r="G31" s="2"/>
      <c r="H31" s="2"/>
      <c r="I31" s="4"/>
      <c r="J31" s="5"/>
      <c r="K31" s="65"/>
      <c r="L31" s="38"/>
      <c r="M31" s="6"/>
      <c r="N31" s="6"/>
      <c r="O31" s="6"/>
      <c r="P31" s="6"/>
    </row>
    <row r="32" spans="1:22" s="34" customFormat="1" x14ac:dyDescent="0.2">
      <c r="A32" s="64"/>
      <c r="B32" s="108"/>
      <c r="C32" s="2"/>
      <c r="D32" s="11"/>
      <c r="E32" s="2"/>
      <c r="F32" s="2"/>
      <c r="G32" s="2"/>
      <c r="H32" s="2"/>
      <c r="I32" s="4"/>
      <c r="J32" s="5"/>
      <c r="K32" s="65"/>
      <c r="L32" s="38"/>
      <c r="M32" s="6"/>
      <c r="N32" s="6"/>
      <c r="O32" s="6"/>
      <c r="P32" s="6"/>
    </row>
    <row r="33" spans="1:16" s="34" customFormat="1" x14ac:dyDescent="0.2">
      <c r="A33" s="64"/>
      <c r="B33" s="108"/>
      <c r="C33" s="2"/>
      <c r="D33" s="11"/>
      <c r="E33" s="2"/>
      <c r="F33" s="2"/>
      <c r="G33" s="2"/>
      <c r="H33" s="2"/>
      <c r="I33" s="4"/>
      <c r="J33" s="5"/>
      <c r="K33" s="65"/>
      <c r="L33" s="38"/>
      <c r="M33" s="6"/>
      <c r="N33" s="6"/>
      <c r="O33" s="6"/>
      <c r="P33" s="6"/>
    </row>
    <row r="34" spans="1:16" x14ac:dyDescent="0.2">
      <c r="A34" s="64"/>
      <c r="B34" s="108"/>
      <c r="C34" s="2"/>
      <c r="D34" s="11"/>
      <c r="E34" s="2"/>
      <c r="F34" s="2"/>
      <c r="G34" s="2"/>
      <c r="H34" s="2"/>
      <c r="I34" s="4"/>
      <c r="J34" s="5"/>
      <c r="K34" s="65"/>
      <c r="L34" s="38"/>
      <c r="M34" s="6"/>
      <c r="N34" s="6"/>
      <c r="O34" s="6"/>
      <c r="P34" s="6"/>
    </row>
    <row r="35" spans="1:16" x14ac:dyDescent="0.2">
      <c r="A35" s="64"/>
      <c r="B35" s="108"/>
      <c r="C35" s="2"/>
      <c r="D35" s="11"/>
      <c r="E35" s="2"/>
      <c r="F35" s="2"/>
      <c r="G35" s="2"/>
      <c r="H35" s="2"/>
      <c r="I35" s="4"/>
      <c r="J35" s="5"/>
      <c r="K35" s="65"/>
      <c r="L35" s="38"/>
      <c r="M35" s="6"/>
      <c r="N35" s="6"/>
      <c r="O35" s="6"/>
      <c r="P35" s="6"/>
    </row>
    <row r="36" spans="1:16" x14ac:dyDescent="0.2">
      <c r="A36" s="64"/>
      <c r="B36" s="108"/>
      <c r="C36" s="2"/>
      <c r="D36" s="11"/>
      <c r="E36" s="2"/>
      <c r="F36" s="2"/>
      <c r="G36" s="2"/>
      <c r="H36" s="2"/>
      <c r="I36" s="4"/>
      <c r="J36" s="5"/>
      <c r="K36" s="65"/>
      <c r="L36" s="38"/>
      <c r="M36" s="6"/>
      <c r="N36" s="6"/>
      <c r="O36" s="6"/>
      <c r="P36" s="6"/>
    </row>
    <row r="37" spans="1:16" x14ac:dyDescent="0.2">
      <c r="A37" s="64"/>
      <c r="B37" s="108"/>
      <c r="C37" s="2"/>
      <c r="D37" s="11"/>
      <c r="E37" s="2"/>
      <c r="F37" s="2"/>
      <c r="G37" s="2"/>
      <c r="H37" s="2"/>
      <c r="I37" s="4"/>
      <c r="J37" s="5"/>
      <c r="K37" s="65"/>
      <c r="L37" s="38"/>
      <c r="M37" s="6"/>
      <c r="N37" s="6"/>
      <c r="O37" s="6"/>
      <c r="P37" s="6"/>
    </row>
    <row r="38" spans="1:16" x14ac:dyDescent="0.2">
      <c r="A38" s="64"/>
      <c r="B38" s="108"/>
      <c r="C38" s="2"/>
      <c r="D38" s="11"/>
      <c r="E38" s="2"/>
      <c r="F38" s="2"/>
      <c r="G38" s="2"/>
      <c r="H38" s="2"/>
      <c r="I38" s="4"/>
      <c r="J38" s="5"/>
      <c r="K38" s="65"/>
      <c r="L38" s="38"/>
      <c r="M38" s="6"/>
      <c r="N38" s="6"/>
      <c r="O38" s="6"/>
      <c r="P38" s="6"/>
    </row>
    <row r="39" spans="1:16" x14ac:dyDescent="0.2">
      <c r="A39" s="64"/>
      <c r="B39" s="108"/>
      <c r="C39" s="2"/>
      <c r="D39" s="11"/>
      <c r="E39" s="2"/>
      <c r="F39" s="2"/>
      <c r="G39" s="2"/>
      <c r="H39" s="2"/>
      <c r="I39" s="4"/>
      <c r="J39" s="5"/>
      <c r="K39" s="65"/>
      <c r="L39" s="38"/>
      <c r="M39" s="6"/>
      <c r="N39" s="6"/>
      <c r="O39" s="6"/>
      <c r="P39" s="6"/>
    </row>
    <row r="40" spans="1:16" x14ac:dyDescent="0.2">
      <c r="A40" s="64"/>
      <c r="B40" s="108"/>
      <c r="C40" s="2"/>
      <c r="D40" s="11"/>
      <c r="E40" s="2"/>
      <c r="F40" s="2"/>
      <c r="G40" s="2"/>
      <c r="H40" s="2"/>
      <c r="I40" s="4"/>
      <c r="J40" s="5"/>
      <c r="K40" s="65"/>
      <c r="L40" s="38"/>
      <c r="M40" s="6"/>
      <c r="N40" s="6"/>
      <c r="O40" s="6"/>
      <c r="P40" s="6"/>
    </row>
    <row r="41" spans="1:16" x14ac:dyDescent="0.2">
      <c r="A41" s="64"/>
      <c r="B41" s="108"/>
      <c r="C41" s="2"/>
      <c r="D41" s="11"/>
      <c r="E41" s="2"/>
      <c r="F41" s="2"/>
      <c r="G41" s="2"/>
      <c r="H41" s="2"/>
      <c r="I41" s="4"/>
      <c r="J41" s="5"/>
      <c r="K41" s="65"/>
      <c r="L41" s="38"/>
      <c r="M41" s="6"/>
      <c r="N41" s="6"/>
      <c r="O41" s="6"/>
      <c r="P41" s="6"/>
    </row>
    <row r="42" spans="1:16" x14ac:dyDescent="0.2">
      <c r="A42" s="64"/>
      <c r="B42" s="108"/>
      <c r="C42" s="2"/>
      <c r="D42" s="11"/>
      <c r="E42" s="2"/>
      <c r="F42" s="2"/>
      <c r="G42" s="2"/>
      <c r="H42" s="2"/>
      <c r="I42" s="4"/>
      <c r="J42" s="5"/>
      <c r="K42" s="65"/>
      <c r="L42" s="38"/>
      <c r="M42" s="6"/>
      <c r="N42" s="6"/>
      <c r="O42" s="6"/>
      <c r="P42" s="6"/>
    </row>
    <row r="43" spans="1:16" x14ac:dyDescent="0.2">
      <c r="A43" s="64"/>
      <c r="B43" s="108"/>
      <c r="C43" s="2"/>
      <c r="D43" s="11"/>
      <c r="E43" s="2"/>
      <c r="F43" s="2"/>
      <c r="G43" s="2"/>
      <c r="H43" s="2"/>
      <c r="I43" s="4"/>
      <c r="J43" s="5"/>
      <c r="K43" s="65"/>
      <c r="L43" s="38"/>
      <c r="M43" s="6"/>
      <c r="N43" s="6"/>
      <c r="O43" s="6"/>
      <c r="P43" s="6"/>
    </row>
    <row r="44" spans="1:16" x14ac:dyDescent="0.2">
      <c r="A44" s="64"/>
      <c r="B44" s="108"/>
      <c r="C44" s="2"/>
      <c r="D44" s="11"/>
      <c r="E44" s="2"/>
      <c r="F44" s="2"/>
      <c r="G44" s="2"/>
      <c r="H44" s="2"/>
      <c r="I44" s="4"/>
      <c r="J44" s="5"/>
      <c r="K44" s="65"/>
      <c r="L44" s="38"/>
      <c r="M44" s="6"/>
      <c r="N44" s="6"/>
      <c r="O44" s="6"/>
      <c r="P44" s="6"/>
    </row>
    <row r="45" spans="1:16" x14ac:dyDescent="0.2">
      <c r="A45" s="64"/>
      <c r="B45" s="108"/>
      <c r="C45" s="2"/>
      <c r="D45" s="11"/>
      <c r="E45" s="2"/>
      <c r="F45" s="2"/>
      <c r="G45" s="2"/>
      <c r="H45" s="2"/>
      <c r="I45" s="4"/>
      <c r="J45" s="5"/>
      <c r="K45" s="65"/>
      <c r="L45" s="38"/>
      <c r="M45" s="6"/>
      <c r="N45" s="6"/>
      <c r="O45" s="6"/>
      <c r="P45" s="6"/>
    </row>
    <row r="46" spans="1:16" x14ac:dyDescent="0.2">
      <c r="A46" s="64"/>
      <c r="B46" s="108"/>
      <c r="C46" s="2"/>
      <c r="D46" s="11"/>
      <c r="E46" s="2"/>
      <c r="F46" s="2"/>
      <c r="G46" s="2"/>
      <c r="H46" s="2"/>
      <c r="I46" s="4"/>
      <c r="J46" s="5"/>
      <c r="K46" s="65"/>
      <c r="L46" s="38"/>
      <c r="M46" s="6"/>
      <c r="N46" s="6"/>
      <c r="O46" s="6"/>
      <c r="P46" s="6"/>
    </row>
    <row r="47" spans="1:16" x14ac:dyDescent="0.2">
      <c r="A47" s="64"/>
      <c r="B47" s="108"/>
      <c r="C47" s="2"/>
      <c r="D47" s="11"/>
      <c r="E47" s="2"/>
      <c r="F47" s="2"/>
      <c r="G47" s="2"/>
      <c r="H47" s="2"/>
      <c r="I47" s="4"/>
      <c r="J47" s="5"/>
      <c r="K47" s="65"/>
      <c r="L47" s="38"/>
      <c r="M47" s="6"/>
      <c r="N47" s="6"/>
      <c r="O47" s="6"/>
      <c r="P47" s="6"/>
    </row>
    <row r="48" spans="1:16" x14ac:dyDescent="0.2">
      <c r="A48" s="64"/>
      <c r="B48" s="108"/>
      <c r="C48" s="2"/>
      <c r="D48" s="11"/>
      <c r="E48" s="2"/>
      <c r="F48" s="2"/>
      <c r="G48" s="2"/>
      <c r="H48" s="2"/>
      <c r="I48" s="4"/>
      <c r="J48" s="5"/>
      <c r="K48" s="65"/>
      <c r="L48" s="38"/>
      <c r="M48" s="6"/>
      <c r="N48" s="6"/>
      <c r="O48" s="6"/>
      <c r="P48" s="6"/>
    </row>
    <row r="49" spans="1:16" x14ac:dyDescent="0.2">
      <c r="A49" s="64"/>
      <c r="B49" s="108"/>
      <c r="C49" s="2"/>
      <c r="D49" s="11"/>
      <c r="E49" s="2"/>
      <c r="F49" s="2"/>
      <c r="G49" s="2"/>
      <c r="H49" s="2"/>
      <c r="I49" s="4"/>
      <c r="J49" s="5"/>
      <c r="K49" s="65"/>
      <c r="L49" s="38"/>
      <c r="M49" s="6"/>
      <c r="N49" s="6"/>
      <c r="O49" s="6"/>
      <c r="P49" s="6"/>
    </row>
    <row r="50" spans="1:16" x14ac:dyDescent="0.2">
      <c r="A50" s="64"/>
      <c r="B50" s="108"/>
      <c r="C50" s="2"/>
      <c r="D50" s="11"/>
      <c r="E50" s="2"/>
      <c r="F50" s="2"/>
      <c r="G50" s="2"/>
      <c r="H50" s="2"/>
      <c r="I50" s="4"/>
      <c r="J50" s="5"/>
      <c r="K50" s="65"/>
      <c r="L50" s="38"/>
      <c r="M50" s="6"/>
      <c r="N50" s="6"/>
      <c r="O50" s="6"/>
      <c r="P50" s="6"/>
    </row>
    <row r="51" spans="1:16" x14ac:dyDescent="0.2">
      <c r="A51" s="64"/>
      <c r="B51" s="108"/>
      <c r="C51" s="2"/>
      <c r="D51" s="11"/>
      <c r="E51" s="2"/>
      <c r="F51" s="2"/>
      <c r="G51" s="2"/>
      <c r="H51" s="2"/>
      <c r="I51" s="4"/>
      <c r="J51" s="5"/>
      <c r="K51" s="65"/>
      <c r="L51" s="38"/>
      <c r="M51" s="6"/>
      <c r="N51" s="6"/>
      <c r="O51" s="6"/>
      <c r="P51" s="6"/>
    </row>
    <row r="52" spans="1:16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6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6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6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6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6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6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6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6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6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6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6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6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2"/>
      <c r="D73" s="11"/>
      <c r="E73" s="2"/>
      <c r="F73" s="2"/>
      <c r="G73" s="2"/>
      <c r="H73" s="2"/>
      <c r="I73" s="4"/>
      <c r="J73" s="5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2"/>
      <c r="D74" s="11"/>
      <c r="E74" s="2"/>
      <c r="F74" s="2"/>
      <c r="G74" s="2"/>
      <c r="H74" s="2"/>
      <c r="I74" s="4"/>
      <c r="J74" s="5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2"/>
      <c r="D75" s="11"/>
      <c r="E75" s="2"/>
      <c r="F75" s="2"/>
      <c r="G75" s="2"/>
      <c r="H75" s="2"/>
      <c r="I75" s="4"/>
      <c r="J75" s="5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7"/>
      <c r="D76" s="11"/>
      <c r="E76" s="7"/>
      <c r="F76" s="7"/>
      <c r="G76" s="7"/>
      <c r="H76" s="2"/>
      <c r="I76" s="15"/>
      <c r="J76" s="8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7"/>
      <c r="D77" s="11"/>
      <c r="E77" s="7"/>
      <c r="F77" s="7"/>
      <c r="G77" s="7"/>
      <c r="H77" s="2"/>
      <c r="I77" s="15"/>
      <c r="J77" s="8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7"/>
      <c r="D78" s="11"/>
      <c r="E78" s="7"/>
      <c r="F78" s="7"/>
      <c r="G78" s="7"/>
      <c r="H78" s="2"/>
      <c r="I78" s="15"/>
      <c r="J78" s="8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7"/>
      <c r="D79" s="11"/>
      <c r="E79" s="7"/>
      <c r="F79" s="7"/>
      <c r="G79" s="7"/>
      <c r="H79" s="2"/>
      <c r="I79" s="15"/>
      <c r="J79" s="8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7"/>
      <c r="D80" s="11"/>
      <c r="E80" s="7"/>
      <c r="F80" s="7"/>
      <c r="G80" s="7"/>
      <c r="H80" s="2"/>
      <c r="I80" s="15"/>
      <c r="J80" s="8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7"/>
      <c r="D81" s="11"/>
      <c r="E81" s="7"/>
      <c r="F81" s="7"/>
      <c r="G81" s="7"/>
      <c r="H81" s="2"/>
      <c r="I81" s="15"/>
      <c r="J81" s="8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7"/>
      <c r="D82" s="11"/>
      <c r="E82" s="7"/>
      <c r="F82" s="7"/>
      <c r="G82" s="7"/>
      <c r="H82" s="2"/>
      <c r="I82" s="15"/>
      <c r="J82" s="8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7"/>
      <c r="D83" s="11"/>
      <c r="E83" s="7"/>
      <c r="F83" s="7"/>
      <c r="G83" s="7"/>
      <c r="H83" s="2"/>
      <c r="I83" s="15"/>
      <c r="J83" s="8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7"/>
      <c r="D84" s="11"/>
      <c r="E84" s="7"/>
      <c r="F84" s="7"/>
      <c r="G84" s="7"/>
      <c r="H84" s="2"/>
      <c r="I84" s="15"/>
      <c r="J84" s="8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7"/>
      <c r="D85" s="11"/>
      <c r="E85" s="7"/>
      <c r="F85" s="7"/>
      <c r="G85" s="7"/>
      <c r="H85" s="2"/>
      <c r="I85" s="15"/>
      <c r="J85" s="8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7"/>
      <c r="D86" s="11"/>
      <c r="E86" s="7"/>
      <c r="F86" s="7"/>
      <c r="G86" s="7"/>
      <c r="H86" s="2"/>
      <c r="I86" s="15"/>
      <c r="J86" s="8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7"/>
      <c r="D87" s="11"/>
      <c r="E87" s="7"/>
      <c r="F87" s="7"/>
      <c r="G87" s="7"/>
      <c r="H87" s="2"/>
      <c r="I87" s="15"/>
      <c r="J87" s="8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7"/>
      <c r="D88" s="11"/>
      <c r="E88" s="7"/>
      <c r="F88" s="7"/>
      <c r="G88" s="7"/>
      <c r="H88" s="2"/>
      <c r="I88" s="15"/>
      <c r="J88" s="8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7"/>
      <c r="D89" s="11"/>
      <c r="E89" s="7"/>
      <c r="F89" s="7"/>
      <c r="G89" s="7"/>
      <c r="H89" s="2"/>
      <c r="I89" s="15"/>
      <c r="J89" s="8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7"/>
      <c r="D90" s="11"/>
      <c r="E90" s="7"/>
      <c r="F90" s="7"/>
      <c r="G90" s="7"/>
      <c r="H90" s="2"/>
      <c r="I90" s="15"/>
      <c r="J90" s="8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7"/>
      <c r="D91" s="11"/>
      <c r="E91" s="7"/>
      <c r="F91" s="7"/>
      <c r="G91" s="7"/>
      <c r="H91" s="2"/>
      <c r="I91" s="15"/>
      <c r="J91" s="8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7"/>
      <c r="D92" s="11"/>
      <c r="E92" s="7"/>
      <c r="F92" s="7"/>
      <c r="G92" s="7"/>
      <c r="H92" s="2"/>
      <c r="I92" s="15"/>
      <c r="J92" s="8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7"/>
      <c r="D93" s="11"/>
      <c r="E93" s="7"/>
      <c r="F93" s="7"/>
      <c r="G93" s="7"/>
      <c r="H93" s="2"/>
      <c r="I93" s="15"/>
      <c r="J93" s="8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7"/>
      <c r="D94" s="11"/>
      <c r="E94" s="7"/>
      <c r="F94" s="7"/>
      <c r="G94" s="7"/>
      <c r="H94" s="2"/>
      <c r="I94" s="15"/>
      <c r="J94" s="8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7"/>
      <c r="D95" s="11"/>
      <c r="E95" s="7"/>
      <c r="F95" s="7"/>
      <c r="G95" s="7"/>
      <c r="H95" s="2"/>
      <c r="I95" s="15"/>
      <c r="J95" s="8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7"/>
      <c r="D96" s="11"/>
      <c r="E96" s="7"/>
      <c r="F96" s="7"/>
      <c r="G96" s="7"/>
      <c r="H96" s="2"/>
      <c r="I96" s="15"/>
      <c r="J96" s="8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7"/>
      <c r="D97" s="11"/>
      <c r="E97" s="7"/>
      <c r="F97" s="7"/>
      <c r="G97" s="7"/>
      <c r="H97" s="2"/>
      <c r="I97" s="15"/>
      <c r="J97" s="8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7"/>
      <c r="D98" s="11"/>
      <c r="E98" s="7"/>
      <c r="F98" s="7"/>
      <c r="G98" s="7"/>
      <c r="H98" s="2"/>
      <c r="I98" s="15"/>
      <c r="J98" s="8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7"/>
      <c r="D99" s="11"/>
      <c r="E99" s="7"/>
      <c r="F99" s="7"/>
      <c r="G99" s="7"/>
      <c r="H99" s="2"/>
      <c r="I99" s="15"/>
      <c r="J99" s="8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7"/>
      <c r="D100" s="11"/>
      <c r="E100" s="7"/>
      <c r="F100" s="7"/>
      <c r="G100" s="7"/>
      <c r="H100" s="3"/>
      <c r="I100" s="15"/>
      <c r="J100" s="8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7"/>
      <c r="D101" s="11"/>
      <c r="E101" s="7"/>
      <c r="F101" s="7"/>
      <c r="G101" s="7"/>
      <c r="H101" s="9"/>
      <c r="I101" s="15"/>
      <c r="J101" s="8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9"/>
      <c r="I102" s="15"/>
      <c r="J102" s="8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9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7"/>
      <c r="D104" s="11"/>
      <c r="E104" s="7"/>
      <c r="F104" s="7"/>
      <c r="G104" s="7"/>
      <c r="H104" s="9"/>
      <c r="I104" s="15"/>
      <c r="J104" s="8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7"/>
      <c r="D105" s="11"/>
      <c r="E105" s="7"/>
      <c r="F105" s="7"/>
      <c r="G105" s="7"/>
      <c r="H105" s="9"/>
      <c r="I105" s="16"/>
      <c r="J105" s="10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7"/>
      <c r="D106" s="11"/>
      <c r="E106" s="7"/>
      <c r="F106" s="7"/>
      <c r="G106" s="7"/>
      <c r="H106" s="9"/>
      <c r="I106" s="15"/>
      <c r="J106" s="8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2"/>
      <c r="D107" s="11"/>
      <c r="E107" s="2"/>
      <c r="F107" s="2"/>
      <c r="G107" s="2"/>
      <c r="H107" s="2"/>
      <c r="I107" s="4"/>
      <c r="J107" s="5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2"/>
      <c r="D108" s="11"/>
      <c r="E108" s="2"/>
      <c r="F108" s="2"/>
      <c r="G108" s="2"/>
      <c r="H108" s="2"/>
      <c r="I108" s="4"/>
      <c r="J108" s="5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2"/>
      <c r="D109" s="11"/>
      <c r="E109" s="2"/>
      <c r="F109" s="2"/>
      <c r="G109" s="2"/>
      <c r="H109" s="2"/>
      <c r="I109" s="4"/>
      <c r="J109" s="5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2"/>
      <c r="D110" s="11"/>
      <c r="E110" s="2"/>
      <c r="F110" s="2"/>
      <c r="G110" s="2"/>
      <c r="H110" s="2"/>
      <c r="I110" s="4"/>
      <c r="J110" s="5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2"/>
      <c r="D111" s="11"/>
      <c r="E111" s="2"/>
      <c r="F111" s="2"/>
      <c r="G111" s="2"/>
      <c r="H111" s="2"/>
      <c r="I111" s="4"/>
      <c r="J111" s="5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2"/>
      <c r="D112" s="11"/>
      <c r="E112" s="2"/>
      <c r="F112" s="2"/>
      <c r="G112" s="2"/>
      <c r="H112" s="2"/>
      <c r="I112" s="4"/>
      <c r="J112" s="5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2"/>
      <c r="D113" s="11"/>
      <c r="E113" s="2"/>
      <c r="F113" s="2"/>
      <c r="G113" s="2"/>
      <c r="H113" s="2"/>
      <c r="I113" s="4"/>
      <c r="J113" s="5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2"/>
      <c r="D114" s="11"/>
      <c r="E114" s="2"/>
      <c r="F114" s="2"/>
      <c r="G114" s="2"/>
      <c r="H114" s="2"/>
      <c r="I114" s="4"/>
      <c r="J114" s="5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2"/>
      <c r="D115" s="11"/>
      <c r="E115" s="2"/>
      <c r="F115" s="2"/>
      <c r="G115" s="2"/>
      <c r="H115" s="2"/>
      <c r="I115" s="4"/>
      <c r="J115" s="5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2"/>
      <c r="D116" s="11"/>
      <c r="E116" s="2"/>
      <c r="F116" s="2"/>
      <c r="G116" s="2"/>
      <c r="H116" s="2"/>
      <c r="I116" s="4"/>
      <c r="J116" s="5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2"/>
      <c r="D117" s="11"/>
      <c r="E117" s="2"/>
      <c r="F117" s="2"/>
      <c r="G117" s="2"/>
      <c r="H117" s="2"/>
      <c r="I117" s="4"/>
      <c r="J117" s="5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2"/>
      <c r="D118" s="11"/>
      <c r="E118" s="2"/>
      <c r="F118" s="2"/>
      <c r="G118" s="2"/>
      <c r="H118" s="2"/>
      <c r="I118" s="4"/>
      <c r="J118" s="5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2"/>
      <c r="D119" s="11"/>
      <c r="E119" s="2"/>
      <c r="F119" s="2"/>
      <c r="G119" s="2"/>
      <c r="H119" s="2"/>
      <c r="I119" s="4"/>
      <c r="J119" s="5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2"/>
      <c r="D120" s="11"/>
      <c r="E120" s="2"/>
      <c r="F120" s="2"/>
      <c r="G120" s="2"/>
      <c r="H120" s="2"/>
      <c r="I120" s="4"/>
      <c r="J120" s="5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2"/>
      <c r="D121" s="11"/>
      <c r="E121" s="2"/>
      <c r="F121" s="2"/>
      <c r="G121" s="2"/>
      <c r="H121" s="2"/>
      <c r="I121" s="4"/>
      <c r="J121" s="5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2"/>
      <c r="D122" s="11"/>
      <c r="E122" s="2"/>
      <c r="F122" s="2"/>
      <c r="G122" s="2"/>
      <c r="H122" s="2"/>
      <c r="I122" s="4"/>
      <c r="J122" s="5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2"/>
      <c r="D123" s="11"/>
      <c r="E123" s="2"/>
      <c r="F123" s="2"/>
      <c r="G123" s="2"/>
      <c r="H123" s="2"/>
      <c r="I123" s="4"/>
      <c r="J123" s="5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2"/>
      <c r="D124" s="11"/>
      <c r="E124" s="2"/>
      <c r="F124" s="2"/>
      <c r="G124" s="2"/>
      <c r="H124" s="2"/>
      <c r="I124" s="4"/>
      <c r="J124" s="5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2"/>
      <c r="D125" s="11"/>
      <c r="E125" s="2"/>
      <c r="F125" s="2"/>
      <c r="G125" s="2"/>
      <c r="H125" s="2"/>
      <c r="I125" s="4"/>
      <c r="J125" s="5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2"/>
      <c r="D126" s="11"/>
      <c r="E126" s="2"/>
      <c r="F126" s="2"/>
      <c r="G126" s="2"/>
      <c r="H126" s="2"/>
      <c r="I126" s="4"/>
      <c r="J126" s="5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2"/>
      <c r="D127" s="11"/>
      <c r="E127" s="2"/>
      <c r="F127" s="2"/>
      <c r="G127" s="2"/>
      <c r="H127" s="2"/>
      <c r="I127" s="4"/>
      <c r="J127" s="5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2"/>
      <c r="D128" s="11"/>
      <c r="E128" s="2"/>
      <c r="F128" s="2"/>
      <c r="G128" s="2"/>
      <c r="H128" s="2"/>
      <c r="I128" s="4"/>
      <c r="J128" s="5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2"/>
      <c r="D129" s="11"/>
      <c r="E129" s="2"/>
      <c r="F129" s="2"/>
      <c r="G129" s="2"/>
      <c r="H129" s="2"/>
      <c r="I129" s="4"/>
      <c r="J129" s="5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2"/>
      <c r="D130" s="11"/>
      <c r="E130" s="2"/>
      <c r="F130" s="2"/>
      <c r="G130" s="2"/>
      <c r="H130" s="2"/>
      <c r="I130" s="4"/>
      <c r="J130" s="5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2"/>
      <c r="D131" s="11"/>
      <c r="E131" s="2"/>
      <c r="F131" s="2"/>
      <c r="G131" s="2"/>
      <c r="H131" s="2"/>
      <c r="I131" s="4"/>
      <c r="J131" s="5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2"/>
      <c r="D132" s="11"/>
      <c r="E132" s="2"/>
      <c r="F132" s="2"/>
      <c r="G132" s="2"/>
      <c r="H132" s="2"/>
      <c r="I132" s="4"/>
      <c r="J132" s="5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2"/>
      <c r="D140" s="11"/>
      <c r="E140" s="2"/>
      <c r="F140" s="2"/>
      <c r="G140" s="2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2"/>
      <c r="D141" s="11"/>
      <c r="E141" s="2"/>
      <c r="F141" s="2"/>
      <c r="G141" s="2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x14ac:dyDescent="0.2">
      <c r="A142" s="64"/>
      <c r="B142" s="108"/>
      <c r="C142" s="2"/>
      <c r="D142" s="11"/>
      <c r="E142" s="2"/>
      <c r="F142" s="2"/>
      <c r="G142" s="2"/>
      <c r="H142" s="2"/>
      <c r="I142" s="4"/>
      <c r="J142" s="5"/>
      <c r="K142" s="65"/>
      <c r="L142" s="38"/>
      <c r="M142" s="6"/>
      <c r="N142" s="6"/>
      <c r="O142" s="6"/>
      <c r="P142" s="6"/>
    </row>
    <row r="143" spans="1:16" x14ac:dyDescent="0.2">
      <c r="A143" s="64"/>
      <c r="B143" s="108"/>
      <c r="C143" s="1"/>
      <c r="D143" s="11"/>
      <c r="E143" s="1"/>
      <c r="F143" s="1"/>
      <c r="G143" s="1"/>
      <c r="H143" s="2"/>
      <c r="I143" s="4"/>
      <c r="J143" s="5"/>
      <c r="K143" s="65"/>
      <c r="L143" s="38"/>
      <c r="M143" s="6"/>
      <c r="N143" s="6"/>
      <c r="O143" s="6"/>
      <c r="P143" s="6"/>
    </row>
    <row r="144" spans="1:16" x14ac:dyDescent="0.2">
      <c r="A144" s="64"/>
      <c r="B144" s="108"/>
      <c r="C144" s="1"/>
      <c r="D144" s="11"/>
      <c r="E144" s="1"/>
      <c r="F144" s="1"/>
      <c r="G144" s="1"/>
      <c r="H144" s="2"/>
      <c r="I144" s="4"/>
      <c r="J144" s="5"/>
      <c r="K144" s="65"/>
      <c r="L144" s="38"/>
      <c r="M144" s="6"/>
      <c r="N144" s="6"/>
      <c r="O144" s="6"/>
      <c r="P144" s="6"/>
    </row>
    <row r="145" spans="1:16" ht="12.75" customHeight="1" x14ac:dyDescent="0.2">
      <c r="A145" s="64"/>
      <c r="B145" s="108"/>
      <c r="C145" s="11"/>
      <c r="D145" s="11"/>
      <c r="E145" s="1"/>
      <c r="F145" s="1"/>
      <c r="G145" s="1"/>
      <c r="H145" s="2"/>
      <c r="I145" s="4"/>
      <c r="J145" s="2"/>
      <c r="K145" s="65"/>
      <c r="L145" s="38"/>
      <c r="M145" s="6"/>
      <c r="N145" s="6"/>
      <c r="O145" s="6"/>
      <c r="P145" s="6"/>
    </row>
    <row r="146" spans="1:16" ht="12.75" customHeight="1" x14ac:dyDescent="0.2">
      <c r="A146" s="64"/>
      <c r="B146" s="108"/>
      <c r="C146" s="11"/>
      <c r="D146" s="11"/>
      <c r="E146" s="1"/>
      <c r="F146" s="1"/>
      <c r="G146" s="1"/>
      <c r="H146" s="2"/>
      <c r="I146" s="4"/>
      <c r="J146" s="2"/>
      <c r="K146" s="65"/>
      <c r="L146" s="38"/>
      <c r="M146" s="6"/>
      <c r="N146" s="6"/>
      <c r="O146" s="6"/>
      <c r="P146" s="6"/>
    </row>
    <row r="147" spans="1:16" ht="12.75" customHeight="1" x14ac:dyDescent="0.2">
      <c r="A147" s="64"/>
      <c r="B147" s="108"/>
      <c r="C147" s="11"/>
      <c r="D147" s="11"/>
      <c r="E147" s="1"/>
      <c r="F147" s="1"/>
      <c r="G147" s="1"/>
      <c r="H147" s="2"/>
      <c r="I147" s="4"/>
      <c r="J147" s="2"/>
      <c r="K147" s="65"/>
      <c r="L147" s="38"/>
      <c r="M147" s="6"/>
      <c r="N147" s="6"/>
      <c r="O147" s="6"/>
      <c r="P147" s="6"/>
    </row>
    <row r="148" spans="1:16" ht="12.75" customHeight="1" x14ac:dyDescent="0.2">
      <c r="A148" s="64"/>
      <c r="B148" s="108"/>
      <c r="C148" s="11"/>
      <c r="D148" s="11"/>
      <c r="E148" s="1"/>
      <c r="F148" s="1"/>
      <c r="G148" s="1"/>
      <c r="H148" s="2"/>
      <c r="I148" s="4"/>
      <c r="J148" s="2"/>
      <c r="K148" s="65"/>
      <c r="L148" s="38"/>
      <c r="M148" s="6"/>
      <c r="N148" s="6"/>
      <c r="O148" s="6"/>
      <c r="P148" s="6"/>
    </row>
    <row r="149" spans="1:16" ht="12.75" customHeight="1" x14ac:dyDescent="0.2">
      <c r="A149" s="64"/>
      <c r="B149" s="108"/>
      <c r="C149" s="11"/>
      <c r="D149" s="11"/>
      <c r="E149" s="1"/>
      <c r="F149" s="1"/>
      <c r="G149" s="1"/>
      <c r="H149" s="2"/>
      <c r="I149" s="4"/>
      <c r="J149" s="2"/>
      <c r="K149" s="65"/>
      <c r="L149" s="38"/>
      <c r="M149" s="6"/>
      <c r="N149" s="6"/>
      <c r="O149" s="6"/>
      <c r="P149" s="6"/>
    </row>
    <row r="150" spans="1:16" ht="12.75" customHeight="1" x14ac:dyDescent="0.2">
      <c r="A150" s="64"/>
      <c r="B150" s="108"/>
      <c r="C150" s="11"/>
      <c r="D150" s="11"/>
      <c r="E150" s="1"/>
      <c r="F150" s="1"/>
      <c r="G150" s="1"/>
      <c r="H150" s="2"/>
      <c r="I150" s="4"/>
      <c r="J150" s="2"/>
      <c r="K150" s="65"/>
      <c r="L150" s="38"/>
      <c r="M150" s="6"/>
      <c r="N150" s="6"/>
      <c r="O150" s="6"/>
      <c r="P150" s="6"/>
    </row>
    <row r="151" spans="1:16" ht="12.75" customHeight="1" x14ac:dyDescent="0.2">
      <c r="A151" s="64"/>
      <c r="B151" s="108"/>
      <c r="C151" s="11"/>
      <c r="D151" s="11"/>
      <c r="E151" s="1"/>
      <c r="F151" s="1"/>
      <c r="G151" s="1"/>
      <c r="H151" s="2"/>
      <c r="I151" s="4"/>
      <c r="J151" s="2"/>
      <c r="K151" s="65"/>
      <c r="L151" s="38"/>
      <c r="M151" s="6"/>
      <c r="N151" s="6"/>
      <c r="O151" s="6"/>
      <c r="P151" s="6"/>
    </row>
    <row r="152" spans="1:16" x14ac:dyDescent="0.2">
      <c r="A152" s="64"/>
      <c r="B152" s="108"/>
      <c r="C152" s="1"/>
      <c r="D152" s="11"/>
      <c r="E152" s="1"/>
      <c r="F152" s="1"/>
      <c r="G152" s="1"/>
      <c r="H152" s="9"/>
      <c r="I152" s="14"/>
      <c r="J152" s="12"/>
      <c r="K152" s="66"/>
      <c r="L152" s="49"/>
      <c r="M152" s="56"/>
      <c r="N152" s="56"/>
      <c r="O152" s="56"/>
      <c r="P152" s="56"/>
    </row>
    <row r="153" spans="1:16" x14ac:dyDescent="0.2">
      <c r="A153" s="64"/>
      <c r="B153" s="108"/>
      <c r="C153" s="1"/>
      <c r="D153" s="11"/>
      <c r="E153" s="1"/>
      <c r="F153" s="1"/>
      <c r="G153" s="1"/>
      <c r="H153" s="9"/>
      <c r="I153" s="14"/>
      <c r="J153" s="12"/>
      <c r="K153" s="66"/>
      <c r="L153" s="49"/>
      <c r="M153" s="56"/>
      <c r="N153" s="56"/>
      <c r="O153" s="56"/>
      <c r="P153" s="56"/>
    </row>
    <row r="154" spans="1:16" x14ac:dyDescent="0.2">
      <c r="A154" s="64"/>
      <c r="B154" s="108"/>
      <c r="C154" s="1"/>
      <c r="D154" s="11"/>
      <c r="E154" s="1"/>
      <c r="F154" s="1"/>
      <c r="G154" s="1"/>
      <c r="H154" s="9"/>
      <c r="I154" s="14"/>
      <c r="J154" s="12"/>
      <c r="K154" s="66"/>
      <c r="L154" s="49"/>
      <c r="M154" s="56"/>
      <c r="N154" s="56"/>
      <c r="O154" s="56"/>
      <c r="P154" s="56"/>
    </row>
    <row r="155" spans="1:16" x14ac:dyDescent="0.2">
      <c r="A155" s="64"/>
      <c r="B155" s="108"/>
      <c r="C155" s="1"/>
      <c r="D155" s="11"/>
      <c r="E155" s="1"/>
      <c r="F155" s="1"/>
      <c r="G155" s="1"/>
      <c r="H155" s="9"/>
      <c r="I155" s="14"/>
      <c r="J155" s="12"/>
      <c r="K155" s="66"/>
      <c r="L155" s="49"/>
      <c r="M155" s="56"/>
      <c r="N155" s="56"/>
      <c r="O155" s="56"/>
      <c r="P155" s="56"/>
    </row>
    <row r="156" spans="1:16" x14ac:dyDescent="0.2">
      <c r="A156" s="64"/>
      <c r="B156" s="108"/>
      <c r="C156" s="1"/>
      <c r="D156" s="11"/>
      <c r="E156" s="1"/>
      <c r="F156" s="1"/>
      <c r="G156" s="1"/>
      <c r="H156" s="9"/>
      <c r="I156" s="14"/>
      <c r="J156" s="12"/>
      <c r="K156" s="66"/>
      <c r="L156" s="49"/>
      <c r="M156" s="56"/>
      <c r="N156" s="56"/>
      <c r="O156" s="56"/>
      <c r="P156" s="56"/>
    </row>
    <row r="157" spans="1:16" x14ac:dyDescent="0.2">
      <c r="A157" s="64"/>
      <c r="B157" s="108"/>
      <c r="C157" s="1"/>
      <c r="D157" s="11"/>
      <c r="E157" s="1"/>
      <c r="F157" s="1"/>
      <c r="G157" s="1"/>
      <c r="H157" s="9"/>
      <c r="I157" s="14"/>
      <c r="J157" s="12"/>
      <c r="K157" s="66"/>
      <c r="L157" s="49"/>
      <c r="M157" s="56"/>
      <c r="N157" s="56"/>
      <c r="O157" s="56"/>
      <c r="P157" s="56"/>
    </row>
    <row r="158" spans="1:16" x14ac:dyDescent="0.2">
      <c r="A158" s="64"/>
      <c r="B158" s="108"/>
      <c r="C158" s="1"/>
      <c r="D158" s="11"/>
      <c r="E158" s="1"/>
      <c r="F158" s="1"/>
      <c r="G158" s="1"/>
      <c r="H158" s="9"/>
      <c r="I158" s="14"/>
      <c r="J158" s="1"/>
      <c r="K158" s="66"/>
      <c r="L158" s="49"/>
      <c r="M158" s="56"/>
      <c r="N158" s="56"/>
      <c r="O158" s="56"/>
      <c r="P158" s="56"/>
    </row>
    <row r="159" spans="1:16" x14ac:dyDescent="0.2">
      <c r="A159" s="67"/>
      <c r="B159" s="96"/>
      <c r="C159" s="9"/>
      <c r="D159" s="9"/>
      <c r="E159" s="2"/>
      <c r="F159" s="2"/>
      <c r="G159" s="2"/>
      <c r="H159" s="9"/>
      <c r="I159" s="4"/>
      <c r="J159" s="2"/>
      <c r="K159" s="65"/>
      <c r="L159" s="38"/>
      <c r="M159" s="6"/>
      <c r="N159" s="6"/>
      <c r="O159" s="6"/>
      <c r="P159" s="6"/>
    </row>
    <row r="160" spans="1:16" x14ac:dyDescent="0.2">
      <c r="A160" s="67"/>
      <c r="B160" s="96"/>
      <c r="C160" s="9"/>
      <c r="D160" s="9"/>
      <c r="E160" s="2"/>
      <c r="F160" s="2"/>
      <c r="G160" s="2"/>
      <c r="H160" s="9"/>
      <c r="I160" s="13"/>
      <c r="J160" s="9"/>
      <c r="K160" s="65"/>
      <c r="L160" s="38"/>
      <c r="M160" s="6"/>
      <c r="N160" s="6"/>
      <c r="O160" s="6"/>
      <c r="P160" s="6"/>
    </row>
    <row r="161" spans="1:16" x14ac:dyDescent="0.2">
      <c r="A161" s="67"/>
      <c r="B161" s="96"/>
      <c r="C161" s="9"/>
      <c r="D161" s="9"/>
      <c r="E161" s="2"/>
      <c r="F161" s="2"/>
      <c r="G161" s="2"/>
      <c r="H161" s="9"/>
      <c r="I161" s="13"/>
      <c r="J161" s="9"/>
      <c r="K161" s="65"/>
      <c r="L161" s="38"/>
      <c r="M161" s="6"/>
      <c r="N161" s="6"/>
      <c r="O161" s="6"/>
      <c r="P161" s="6"/>
    </row>
    <row r="162" spans="1:16" x14ac:dyDescent="0.2">
      <c r="A162" s="67"/>
      <c r="B162" s="96"/>
      <c r="C162" s="9"/>
      <c r="D162" s="9"/>
      <c r="E162" s="2"/>
      <c r="F162" s="2"/>
      <c r="G162" s="2"/>
      <c r="H162" s="9"/>
      <c r="I162" s="13"/>
      <c r="J162" s="9"/>
      <c r="K162" s="65"/>
      <c r="L162" s="38"/>
      <c r="M162" s="6"/>
      <c r="N162" s="6"/>
      <c r="O162" s="6"/>
      <c r="P162" s="6"/>
    </row>
    <row r="163" spans="1:16" x14ac:dyDescent="0.2">
      <c r="A163" s="67"/>
      <c r="B163" s="96"/>
      <c r="C163" s="9"/>
      <c r="D163" s="9"/>
      <c r="E163" s="2"/>
      <c r="F163" s="2"/>
      <c r="G163" s="2"/>
      <c r="H163" s="9"/>
      <c r="I163" s="13"/>
      <c r="J163" s="9"/>
      <c r="K163" s="65"/>
      <c r="L163" s="38"/>
      <c r="M163" s="6"/>
      <c r="N163" s="6"/>
      <c r="O163" s="6"/>
      <c r="P163" s="6"/>
    </row>
    <row r="164" spans="1:16" x14ac:dyDescent="0.2">
      <c r="A164" s="67"/>
      <c r="B164" s="96"/>
      <c r="C164" s="9"/>
      <c r="D164" s="9"/>
      <c r="E164" s="2"/>
      <c r="F164" s="2"/>
      <c r="G164" s="2"/>
      <c r="H164" s="9"/>
      <c r="I164" s="13"/>
      <c r="J164" s="9"/>
      <c r="K164" s="66"/>
      <c r="L164" s="49"/>
      <c r="M164" s="56"/>
      <c r="N164" s="56"/>
      <c r="O164" s="56"/>
      <c r="P164" s="56"/>
    </row>
    <row r="165" spans="1:16" x14ac:dyDescent="0.2">
      <c r="A165" s="67"/>
      <c r="B165" s="96"/>
      <c r="C165" s="9"/>
      <c r="D165" s="9"/>
      <c r="E165" s="2"/>
      <c r="F165" s="2"/>
      <c r="G165" s="2"/>
      <c r="H165" s="9"/>
      <c r="I165" s="13"/>
      <c r="J165" s="9"/>
      <c r="K165" s="68"/>
      <c r="L165" s="50"/>
      <c r="M165" s="57"/>
      <c r="N165" s="57"/>
      <c r="O165" s="57"/>
      <c r="P165" s="57"/>
    </row>
    <row r="166" spans="1:16" x14ac:dyDescent="0.2">
      <c r="A166" s="67"/>
      <c r="B166" s="96"/>
      <c r="C166" s="9"/>
      <c r="D166" s="9"/>
      <c r="E166" s="2"/>
      <c r="F166" s="2"/>
      <c r="G166" s="2"/>
      <c r="H166" s="9"/>
      <c r="I166" s="13"/>
      <c r="J166" s="9"/>
      <c r="K166" s="68"/>
      <c r="L166" s="50"/>
      <c r="M166" s="57"/>
      <c r="N166" s="57"/>
      <c r="O166" s="57"/>
      <c r="P166" s="57"/>
    </row>
    <row r="167" spans="1:16" x14ac:dyDescent="0.2">
      <c r="A167" s="67"/>
      <c r="B167" s="96"/>
      <c r="C167" s="9"/>
      <c r="D167" s="9"/>
      <c r="E167" s="2"/>
      <c r="F167" s="2"/>
      <c r="G167" s="2"/>
      <c r="H167" s="9"/>
      <c r="I167" s="13"/>
      <c r="J167" s="9"/>
      <c r="K167" s="68"/>
      <c r="L167" s="50"/>
      <c r="M167" s="57"/>
      <c r="N167" s="57"/>
      <c r="O167" s="57"/>
      <c r="P167" s="57"/>
    </row>
    <row r="168" spans="1:16" x14ac:dyDescent="0.2">
      <c r="A168" s="67"/>
      <c r="B168" s="96"/>
      <c r="C168" s="9"/>
      <c r="D168" s="9"/>
      <c r="E168" s="2"/>
      <c r="F168" s="2"/>
      <c r="G168" s="2"/>
      <c r="H168" s="9"/>
      <c r="I168" s="13"/>
      <c r="J168" s="9"/>
      <c r="K168" s="68"/>
      <c r="L168" s="50"/>
      <c r="M168" s="57"/>
      <c r="N168" s="57"/>
      <c r="O168" s="57"/>
      <c r="P168" s="57"/>
    </row>
    <row r="169" spans="1:16" x14ac:dyDescent="0.2">
      <c r="A169" s="67"/>
      <c r="B169" s="96"/>
      <c r="C169" s="9"/>
      <c r="D169" s="9"/>
      <c r="E169" s="17"/>
      <c r="F169" s="17"/>
      <c r="G169" s="17"/>
      <c r="H169" s="9"/>
      <c r="I169" s="13"/>
      <c r="J169" s="9"/>
      <c r="K169" s="68"/>
      <c r="L169" s="50"/>
      <c r="M169" s="57"/>
      <c r="N169" s="57"/>
      <c r="O169" s="57"/>
      <c r="P169" s="57"/>
    </row>
    <row r="170" spans="1:16" x14ac:dyDescent="0.2">
      <c r="A170" s="67"/>
      <c r="B170" s="96"/>
      <c r="C170" s="9"/>
      <c r="D170" s="9"/>
      <c r="E170" s="2"/>
      <c r="F170" s="2"/>
      <c r="G170" s="2"/>
      <c r="H170" s="9"/>
      <c r="I170" s="13"/>
      <c r="J170" s="9"/>
      <c r="K170" s="68"/>
      <c r="L170" s="50"/>
      <c r="M170" s="57"/>
      <c r="N170" s="57"/>
      <c r="O170" s="57"/>
      <c r="P170" s="57"/>
    </row>
    <row r="171" spans="1:16" x14ac:dyDescent="0.2">
      <c r="A171" s="67"/>
      <c r="B171" s="96"/>
      <c r="C171" s="9"/>
      <c r="D171" s="9"/>
      <c r="E171" s="9"/>
      <c r="F171" s="9"/>
      <c r="G171" s="9"/>
      <c r="H171" s="9"/>
      <c r="I171" s="13"/>
      <c r="J171" s="9"/>
      <c r="K171" s="66"/>
      <c r="L171" s="49"/>
      <c r="M171" s="56"/>
      <c r="N171" s="56"/>
      <c r="O171" s="56"/>
      <c r="P171" s="56"/>
    </row>
    <row r="172" spans="1:16" x14ac:dyDescent="0.2">
      <c r="A172" s="67"/>
      <c r="B172" s="96"/>
      <c r="C172" s="9"/>
      <c r="D172" s="9"/>
      <c r="E172" s="9"/>
      <c r="F172" s="9"/>
      <c r="G172" s="9"/>
      <c r="H172" s="9"/>
      <c r="I172" s="13"/>
      <c r="J172" s="9"/>
      <c r="K172" s="66"/>
      <c r="L172" s="49"/>
      <c r="M172" s="56"/>
      <c r="N172" s="56"/>
      <c r="O172" s="56"/>
      <c r="P172" s="56"/>
    </row>
    <row r="173" spans="1:16" x14ac:dyDescent="0.2">
      <c r="A173" s="67"/>
      <c r="B173" s="96"/>
      <c r="C173" s="9"/>
      <c r="D173" s="9"/>
      <c r="E173" s="9"/>
      <c r="F173" s="9"/>
      <c r="G173" s="9"/>
      <c r="H173" s="9"/>
      <c r="I173" s="13"/>
      <c r="J173" s="9"/>
      <c r="K173" s="66"/>
      <c r="L173" s="49"/>
      <c r="M173" s="56"/>
      <c r="N173" s="56"/>
      <c r="O173" s="56"/>
      <c r="P173" s="56"/>
    </row>
    <row r="174" spans="1:16" x14ac:dyDescent="0.2">
      <c r="A174" s="67"/>
      <c r="B174" s="96"/>
      <c r="C174" s="9"/>
      <c r="D174" s="9"/>
      <c r="E174" s="9"/>
      <c r="F174" s="9"/>
      <c r="G174" s="9"/>
      <c r="H174" s="9"/>
      <c r="I174" s="13"/>
      <c r="J174" s="9"/>
      <c r="K174" s="66"/>
      <c r="L174" s="49"/>
      <c r="M174" s="56"/>
      <c r="N174" s="56"/>
      <c r="O174" s="56"/>
      <c r="P174" s="56"/>
    </row>
    <row r="175" spans="1:16" x14ac:dyDescent="0.2">
      <c r="A175" s="67"/>
      <c r="B175" s="96"/>
      <c r="C175" s="9"/>
      <c r="D175" s="9"/>
      <c r="E175" s="9"/>
      <c r="F175" s="9"/>
      <c r="G175" s="9"/>
      <c r="H175" s="9"/>
      <c r="I175" s="13"/>
      <c r="J175" s="9"/>
      <c r="K175" s="66"/>
      <c r="L175" s="49"/>
      <c r="M175" s="56"/>
      <c r="N175" s="56"/>
      <c r="O175" s="56"/>
      <c r="P175" s="56"/>
    </row>
    <row r="176" spans="1:16" x14ac:dyDescent="0.2">
      <c r="A176" s="67"/>
      <c r="B176" s="96"/>
      <c r="C176" s="9"/>
      <c r="D176" s="9"/>
      <c r="E176" s="9"/>
      <c r="F176" s="9"/>
      <c r="G176" s="9"/>
      <c r="H176" s="9"/>
      <c r="I176" s="13"/>
      <c r="J176" s="9"/>
      <c r="K176" s="66"/>
      <c r="L176" s="49"/>
      <c r="M176" s="56"/>
      <c r="N176" s="56"/>
      <c r="O176" s="56"/>
      <c r="P176" s="56"/>
    </row>
    <row r="177" spans="1:16" x14ac:dyDescent="0.2">
      <c r="A177" s="67"/>
      <c r="B177" s="96"/>
      <c r="C177" s="9"/>
      <c r="D177" s="9"/>
      <c r="E177" s="9"/>
      <c r="F177" s="9"/>
      <c r="G177" s="9"/>
      <c r="H177" s="9"/>
      <c r="I177" s="13"/>
      <c r="J177" s="9"/>
      <c r="K177" s="66"/>
      <c r="L177" s="49"/>
      <c r="M177" s="56"/>
      <c r="N177" s="56"/>
      <c r="O177" s="56"/>
      <c r="P177" s="56"/>
    </row>
    <row r="178" spans="1:16" x14ac:dyDescent="0.2">
      <c r="A178" s="67"/>
      <c r="B178" s="96"/>
      <c r="C178" s="9"/>
      <c r="D178" s="9"/>
      <c r="E178" s="9"/>
      <c r="F178" s="9"/>
      <c r="G178" s="9"/>
      <c r="H178" s="9"/>
      <c r="I178" s="13"/>
      <c r="J178" s="9"/>
      <c r="K178" s="66"/>
      <c r="L178" s="49"/>
      <c r="M178" s="56"/>
      <c r="N178" s="56"/>
      <c r="O178" s="56"/>
      <c r="P178" s="56"/>
    </row>
    <row r="179" spans="1:16" x14ac:dyDescent="0.2">
      <c r="A179" s="67"/>
      <c r="B179" s="96"/>
      <c r="C179" s="9"/>
      <c r="D179" s="9"/>
      <c r="E179" s="9"/>
      <c r="F179" s="9"/>
      <c r="G179" s="9"/>
      <c r="H179" s="9"/>
      <c r="I179" s="13"/>
      <c r="J179" s="9"/>
      <c r="K179" s="66"/>
      <c r="L179" s="49"/>
      <c r="M179" s="56"/>
      <c r="N179" s="56"/>
      <c r="O179" s="56"/>
      <c r="P179" s="56"/>
    </row>
    <row r="180" spans="1:16" x14ac:dyDescent="0.2">
      <c r="A180" s="67"/>
      <c r="B180" s="96"/>
      <c r="C180" s="9"/>
      <c r="D180" s="9"/>
      <c r="E180" s="9"/>
      <c r="F180" s="9"/>
      <c r="G180" s="9"/>
      <c r="H180" s="9"/>
      <c r="I180" s="13"/>
      <c r="J180" s="9"/>
      <c r="K180" s="66"/>
      <c r="L180" s="49"/>
      <c r="M180" s="56"/>
      <c r="N180" s="56"/>
      <c r="O180" s="56"/>
      <c r="P180" s="56"/>
    </row>
    <row r="181" spans="1:16" x14ac:dyDescent="0.2">
      <c r="A181" s="67"/>
      <c r="B181" s="96"/>
      <c r="C181" s="9"/>
      <c r="D181" s="9"/>
      <c r="E181" s="9"/>
      <c r="F181" s="9"/>
      <c r="G181" s="9"/>
      <c r="H181" s="9"/>
      <c r="I181" s="13"/>
      <c r="J181" s="9"/>
      <c r="K181" s="66"/>
      <c r="L181" s="49"/>
      <c r="M181" s="56"/>
      <c r="N181" s="56"/>
      <c r="O181" s="56"/>
      <c r="P181" s="56"/>
    </row>
    <row r="182" spans="1:16" x14ac:dyDescent="0.2">
      <c r="A182" s="67"/>
      <c r="B182" s="96"/>
      <c r="C182" s="9"/>
      <c r="D182" s="9"/>
      <c r="E182" s="9"/>
      <c r="F182" s="9"/>
      <c r="G182" s="9"/>
      <c r="H182" s="9"/>
      <c r="I182" s="13"/>
      <c r="J182" s="9"/>
      <c r="K182" s="66"/>
      <c r="L182" s="49"/>
      <c r="M182" s="56"/>
      <c r="N182" s="56"/>
      <c r="O182" s="56"/>
      <c r="P182" s="56"/>
    </row>
    <row r="183" spans="1:16" x14ac:dyDescent="0.2">
      <c r="A183" s="67"/>
      <c r="B183" s="96"/>
      <c r="C183" s="9"/>
      <c r="D183" s="9"/>
      <c r="E183" s="9"/>
      <c r="F183" s="9"/>
      <c r="G183" s="9"/>
      <c r="H183" s="9"/>
      <c r="I183" s="13"/>
      <c r="J183" s="9"/>
      <c r="K183" s="66"/>
      <c r="L183" s="49"/>
      <c r="M183" s="56"/>
      <c r="N183" s="56"/>
      <c r="O183" s="56"/>
      <c r="P183" s="56"/>
    </row>
    <row r="184" spans="1:16" x14ac:dyDescent="0.2">
      <c r="A184" s="67"/>
      <c r="B184" s="96"/>
      <c r="C184" s="9"/>
      <c r="D184" s="9"/>
      <c r="E184" s="9"/>
      <c r="F184" s="9"/>
      <c r="G184" s="9"/>
      <c r="H184" s="9"/>
      <c r="I184" s="13"/>
      <c r="J184" s="9"/>
      <c r="K184" s="66"/>
      <c r="L184" s="49"/>
      <c r="M184" s="56"/>
      <c r="N184" s="56"/>
      <c r="O184" s="56"/>
      <c r="P184" s="56"/>
    </row>
    <row r="185" spans="1:16" x14ac:dyDescent="0.2">
      <c r="A185" s="67"/>
      <c r="B185" s="96"/>
      <c r="C185" s="9"/>
      <c r="D185" s="9"/>
      <c r="E185" s="9"/>
      <c r="F185" s="9"/>
      <c r="G185" s="9"/>
      <c r="H185" s="9"/>
      <c r="I185" s="13"/>
      <c r="J185" s="9"/>
      <c r="K185" s="66"/>
      <c r="L185" s="49"/>
      <c r="M185" s="56"/>
      <c r="N185" s="56"/>
      <c r="O185" s="56"/>
      <c r="P185" s="56"/>
    </row>
    <row r="186" spans="1:16" ht="12.75" customHeight="1" x14ac:dyDescent="0.2">
      <c r="A186" s="67"/>
      <c r="B186" s="96"/>
      <c r="C186" s="9"/>
      <c r="D186" s="9"/>
      <c r="E186" s="9"/>
      <c r="F186" s="9"/>
      <c r="G186" s="9"/>
      <c r="H186" s="9"/>
      <c r="I186" s="13"/>
      <c r="J186" s="9"/>
      <c r="K186" s="66"/>
      <c r="L186" s="49"/>
      <c r="M186" s="56"/>
      <c r="N186" s="56"/>
      <c r="O186" s="56"/>
      <c r="P186" s="56"/>
    </row>
    <row r="187" spans="1:16" ht="12.75" customHeight="1" x14ac:dyDescent="0.2">
      <c r="A187" s="67"/>
      <c r="B187" s="96"/>
      <c r="C187" s="9"/>
      <c r="D187" s="9"/>
      <c r="E187" s="9"/>
      <c r="F187" s="9"/>
      <c r="G187" s="9"/>
      <c r="H187" s="9"/>
      <c r="I187" s="13"/>
      <c r="J187" s="9"/>
      <c r="K187" s="66"/>
      <c r="L187" s="49"/>
      <c r="M187" s="56"/>
      <c r="N187" s="56"/>
      <c r="O187" s="56"/>
      <c r="P187" s="56"/>
    </row>
    <row r="188" spans="1:16" ht="12.75" customHeight="1" x14ac:dyDescent="0.2">
      <c r="A188" s="67"/>
      <c r="B188" s="96"/>
      <c r="C188" s="9"/>
      <c r="D188" s="9"/>
      <c r="E188" s="9"/>
      <c r="F188" s="9"/>
      <c r="G188" s="9"/>
      <c r="H188" s="9"/>
      <c r="I188" s="13"/>
      <c r="J188" s="9"/>
      <c r="K188" s="66"/>
      <c r="L188" s="49"/>
      <c r="M188" s="56"/>
      <c r="N188" s="56"/>
      <c r="O188" s="56"/>
      <c r="P188" s="56"/>
    </row>
    <row r="189" spans="1:16" x14ac:dyDescent="0.2">
      <c r="A189" s="67"/>
      <c r="B189" s="96"/>
      <c r="C189" s="9"/>
      <c r="D189" s="9"/>
      <c r="E189" s="9"/>
      <c r="F189" s="9"/>
      <c r="G189" s="9"/>
      <c r="H189" s="9"/>
      <c r="I189" s="13"/>
      <c r="J189" s="9"/>
      <c r="K189" s="66"/>
      <c r="L189" s="49"/>
      <c r="M189" s="56"/>
      <c r="N189" s="56"/>
      <c r="O189" s="56"/>
      <c r="P189" s="56"/>
    </row>
    <row r="190" spans="1:16" x14ac:dyDescent="0.2">
      <c r="A190" s="67"/>
      <c r="B190" s="96"/>
      <c r="C190" s="9"/>
      <c r="D190" s="9"/>
      <c r="E190" s="9"/>
      <c r="F190" s="9"/>
      <c r="G190" s="9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9"/>
      <c r="F191" s="9"/>
      <c r="G191" s="9"/>
      <c r="H191" s="9"/>
      <c r="I191" s="13"/>
      <c r="J191" s="9"/>
      <c r="K191" s="66"/>
      <c r="L191" s="49"/>
      <c r="M191" s="56"/>
      <c r="N191" s="56"/>
      <c r="O191" s="56"/>
      <c r="P191" s="56"/>
    </row>
    <row r="192" spans="1:16" x14ac:dyDescent="0.2">
      <c r="A192" s="67"/>
      <c r="B192" s="96"/>
      <c r="C192" s="9"/>
      <c r="D192" s="9"/>
      <c r="E192" s="9"/>
      <c r="F192" s="9"/>
      <c r="G192" s="9"/>
      <c r="H192" s="9"/>
      <c r="I192" s="13"/>
      <c r="J192" s="9"/>
      <c r="K192" s="66"/>
      <c r="L192" s="49"/>
      <c r="M192" s="56"/>
      <c r="N192" s="56"/>
      <c r="O192" s="56"/>
      <c r="P192" s="56"/>
    </row>
    <row r="193" spans="1:16" x14ac:dyDescent="0.2">
      <c r="A193" s="67"/>
      <c r="B193" s="96"/>
      <c r="C193" s="9"/>
      <c r="D193" s="9"/>
      <c r="E193" s="9"/>
      <c r="F193" s="9"/>
      <c r="G193" s="9"/>
      <c r="H193" s="9"/>
      <c r="I193" s="13"/>
      <c r="J193" s="9"/>
      <c r="K193" s="66"/>
      <c r="L193" s="49"/>
      <c r="M193" s="56"/>
      <c r="N193" s="56"/>
      <c r="O193" s="56"/>
      <c r="P193" s="56"/>
    </row>
    <row r="194" spans="1:16" x14ac:dyDescent="0.2">
      <c r="A194" s="67"/>
      <c r="B194" s="96"/>
      <c r="C194" s="9"/>
      <c r="D194" s="9"/>
      <c r="E194" s="9"/>
      <c r="F194" s="9"/>
      <c r="G194" s="9"/>
      <c r="H194" s="9"/>
      <c r="I194" s="13"/>
      <c r="J194" s="9"/>
      <c r="K194" s="66"/>
      <c r="L194" s="49"/>
      <c r="M194" s="56"/>
      <c r="N194" s="56"/>
      <c r="O194" s="56"/>
      <c r="P194" s="56"/>
    </row>
    <row r="195" spans="1:16" x14ac:dyDescent="0.2">
      <c r="A195" s="67"/>
      <c r="B195" s="96"/>
      <c r="C195" s="9"/>
      <c r="D195" s="9"/>
      <c r="E195" s="9"/>
      <c r="F195" s="9"/>
      <c r="G195" s="9"/>
      <c r="H195" s="9"/>
      <c r="I195" s="13"/>
      <c r="J195" s="9"/>
      <c r="K195" s="66"/>
      <c r="L195" s="49"/>
      <c r="M195" s="56"/>
      <c r="N195" s="56"/>
      <c r="O195" s="56"/>
      <c r="P195" s="56"/>
    </row>
    <row r="196" spans="1:16" x14ac:dyDescent="0.2">
      <c r="A196" s="67"/>
      <c r="B196" s="96"/>
      <c r="C196" s="9"/>
      <c r="D196" s="9"/>
      <c r="E196" s="9"/>
      <c r="F196" s="9"/>
      <c r="G196" s="9"/>
      <c r="H196" s="9"/>
      <c r="I196" s="13"/>
      <c r="J196" s="9"/>
      <c r="K196" s="66"/>
      <c r="L196" s="49"/>
      <c r="M196" s="56"/>
      <c r="N196" s="56"/>
      <c r="O196" s="56"/>
      <c r="P196" s="56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6"/>
      <c r="P204" s="56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6"/>
      <c r="P205" s="56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6"/>
      <c r="P206" s="56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8"/>
      <c r="P207" s="58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8"/>
      <c r="P208" s="58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8"/>
      <c r="P209" s="58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8"/>
      <c r="P210" s="58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8"/>
      <c r="P211" s="58"/>
    </row>
    <row r="212" spans="1:16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8"/>
      <c r="P212" s="58"/>
    </row>
    <row r="213" spans="1:16" x14ac:dyDescent="0.2">
      <c r="A213" s="67"/>
      <c r="B213" s="96"/>
      <c r="C213" s="9"/>
      <c r="D213" s="9"/>
      <c r="E213" s="9"/>
      <c r="F213" s="9"/>
      <c r="G213" s="9"/>
      <c r="H213" s="9"/>
      <c r="I213" s="13"/>
      <c r="J213" s="9"/>
      <c r="K213" s="66"/>
      <c r="L213" s="49"/>
      <c r="M213" s="56"/>
      <c r="N213" s="56"/>
      <c r="O213" s="58"/>
      <c r="P213" s="58"/>
    </row>
    <row r="214" spans="1:16" x14ac:dyDescent="0.2">
      <c r="A214" s="67"/>
      <c r="B214" s="96"/>
      <c r="C214" s="9"/>
      <c r="D214" s="9"/>
      <c r="E214" s="9"/>
      <c r="F214" s="9"/>
      <c r="G214" s="9"/>
      <c r="H214" s="9"/>
      <c r="I214" s="13"/>
      <c r="J214" s="9"/>
      <c r="K214" s="66"/>
      <c r="L214" s="49"/>
      <c r="M214" s="56"/>
      <c r="N214" s="56"/>
      <c r="O214" s="58"/>
      <c r="P214" s="58"/>
    </row>
    <row r="215" spans="1:16" x14ac:dyDescent="0.2">
      <c r="A215" s="67"/>
      <c r="B215" s="96"/>
      <c r="C215" s="9"/>
      <c r="D215" s="9"/>
      <c r="E215" s="9"/>
      <c r="F215" s="9"/>
      <c r="G215" s="9"/>
      <c r="H215" s="9"/>
      <c r="I215" s="13"/>
      <c r="J215" s="9"/>
      <c r="K215" s="66"/>
      <c r="L215" s="49"/>
      <c r="M215" s="56"/>
      <c r="N215" s="56"/>
      <c r="O215" s="58"/>
      <c r="P215" s="58"/>
    </row>
    <row r="216" spans="1:16" ht="13.5" thickBot="1" x14ac:dyDescent="0.25">
      <c r="A216" s="69"/>
      <c r="B216" s="109"/>
      <c r="C216" s="70"/>
      <c r="D216" s="70"/>
      <c r="E216" s="70"/>
      <c r="F216" s="70"/>
      <c r="G216" s="70"/>
      <c r="H216" s="70"/>
      <c r="I216" s="71"/>
      <c r="J216" s="70"/>
      <c r="K216" s="72"/>
      <c r="L216" s="49"/>
      <c r="M216" s="56"/>
      <c r="N216" s="56"/>
      <c r="O216" s="58"/>
      <c r="P216" s="58"/>
    </row>
  </sheetData>
  <autoFilter ref="A17:WWB21"/>
  <mergeCells count="1">
    <mergeCell ref="H16:K16"/>
  </mergeCells>
  <conditionalFormatting sqref="H16:I16">
    <cfRule type="cellIs" dxfId="3" priority="1" stopIfTrue="1" operator="notEqual">
      <formula>""</formula>
    </cfRule>
  </conditionalFormatting>
  <conditionalFormatting sqref="D12">
    <cfRule type="cellIs" dxfId="2" priority="2" stopIfTrue="1" operator="equal">
      <formula>"Explanation"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B213"/>
  <sheetViews>
    <sheetView workbookViewId="0">
      <selection activeCell="E1" sqref="E1:E1048576"/>
    </sheetView>
  </sheetViews>
  <sheetFormatPr defaultColWidth="23.85546875" defaultRowHeight="12.75" x14ac:dyDescent="0.2"/>
  <cols>
    <col min="1" max="1" width="23.85546875" style="20" customWidth="1"/>
    <col min="2" max="2" width="41.85546875" style="20" hidden="1" customWidth="1"/>
    <col min="3" max="3" width="37.140625" style="35" customWidth="1"/>
    <col min="4" max="4" width="23.42578125" style="34" customWidth="1"/>
    <col min="5" max="5" width="17.42578125" style="36" customWidth="1"/>
    <col min="6" max="6" width="16.85546875" style="36" hidden="1" customWidth="1"/>
    <col min="7" max="7" width="19" style="36" customWidth="1"/>
    <col min="8" max="8" width="11.7109375" style="20" hidden="1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4" width="8.85546875" style="33" customWidth="1"/>
    <col min="15" max="15" width="8.85546875" style="33" hidden="1" customWidth="1"/>
    <col min="16" max="16" width="12" style="33" hidden="1" customWidth="1"/>
    <col min="17" max="17" width="11.28515625" style="20" hidden="1" customWidth="1"/>
    <col min="18" max="18" width="8" style="20" hidden="1" customWidth="1"/>
    <col min="19" max="19" width="8.7109375" style="20" hidden="1" customWidth="1"/>
    <col min="20" max="263" width="23.85546875" style="20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42578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42578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42578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42578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42578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42578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42578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42578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42578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42578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42578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42578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42578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42578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42578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42578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42578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42578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42578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42578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42578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42578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42578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42578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42578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42578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42578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42578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42578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42578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42578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42578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42578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42578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42578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42578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42578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42578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42578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42578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42578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42578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42578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42578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42578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42578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42578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42578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42578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42578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42578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42578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42578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42578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42578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42578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42578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42578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42578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42578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42578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42578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42578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26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L2" s="42"/>
      <c r="M2" s="42"/>
      <c r="N2" s="42"/>
      <c r="O2" s="42"/>
      <c r="P2" s="42"/>
    </row>
    <row r="3" spans="1:17" ht="18.75" x14ac:dyDescent="0.3">
      <c r="A3" s="73"/>
      <c r="B3" s="74"/>
      <c r="C3" s="74"/>
      <c r="D3" s="74"/>
      <c r="E3" s="74"/>
      <c r="F3" s="74"/>
      <c r="G3" s="74"/>
      <c r="H3" s="74"/>
      <c r="I3" s="74"/>
      <c r="J3" s="75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3" t="s">
        <v>72</v>
      </c>
      <c r="C4" s="34" t="s">
        <v>167</v>
      </c>
      <c r="D4" s="22"/>
      <c r="E4" s="22"/>
      <c r="F4" s="22"/>
      <c r="G4" s="23" t="s">
        <v>166</v>
      </c>
      <c r="H4" s="52">
        <v>42941</v>
      </c>
      <c r="I4" s="43"/>
      <c r="J4" s="97"/>
      <c r="L4" s="43"/>
      <c r="M4" s="43"/>
      <c r="N4" s="43"/>
      <c r="P4" s="100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7"/>
      <c r="L5" s="44"/>
      <c r="M5" s="44"/>
      <c r="N5" s="44"/>
      <c r="P5" s="101"/>
    </row>
    <row r="6" spans="1:17" x14ac:dyDescent="0.2">
      <c r="A6" s="91" t="s">
        <v>1</v>
      </c>
      <c r="B6" s="92"/>
      <c r="C6" s="149"/>
      <c r="D6" s="103" t="s">
        <v>66</v>
      </c>
      <c r="E6" s="99"/>
      <c r="F6" s="99"/>
      <c r="G6" s="93"/>
      <c r="H6" s="93"/>
      <c r="I6" s="110" t="s">
        <v>62</v>
      </c>
      <c r="J6" s="97"/>
      <c r="L6" s="45"/>
      <c r="M6" s="45"/>
      <c r="N6" s="45"/>
      <c r="P6" s="102"/>
    </row>
    <row r="7" spans="1:17" ht="15" x14ac:dyDescent="0.2">
      <c r="A7" s="51" t="s">
        <v>2</v>
      </c>
      <c r="B7" s="89" t="s">
        <v>52</v>
      </c>
      <c r="C7" s="149" t="s">
        <v>170</v>
      </c>
      <c r="D7" s="104" t="s">
        <v>67</v>
      </c>
      <c r="E7" s="99"/>
      <c r="F7" s="99"/>
      <c r="G7" s="93"/>
      <c r="H7" s="93"/>
      <c r="I7" s="110" t="s">
        <v>63</v>
      </c>
      <c r="J7" s="97"/>
      <c r="L7" s="45"/>
      <c r="M7" s="45"/>
      <c r="N7" s="45"/>
      <c r="P7" s="102"/>
    </row>
    <row r="8" spans="1:17" ht="15" x14ac:dyDescent="0.2">
      <c r="A8" s="51" t="s">
        <v>4</v>
      </c>
      <c r="B8" s="83" t="s">
        <v>30</v>
      </c>
      <c r="C8" s="149" t="s">
        <v>164</v>
      </c>
      <c r="D8" s="105" t="s">
        <v>61</v>
      </c>
      <c r="E8" s="99">
        <v>9617008114</v>
      </c>
      <c r="F8" s="99"/>
      <c r="G8" s="93"/>
      <c r="H8" s="93"/>
      <c r="I8" s="110" t="s">
        <v>64</v>
      </c>
      <c r="J8" s="97"/>
      <c r="L8" s="45"/>
      <c r="M8" s="45"/>
      <c r="N8" s="45"/>
      <c r="O8" s="45"/>
      <c r="P8" s="45"/>
      <c r="Q8" s="24"/>
    </row>
    <row r="9" spans="1:17" ht="15" x14ac:dyDescent="0.2">
      <c r="A9" s="51" t="s">
        <v>4</v>
      </c>
      <c r="B9" s="83" t="s">
        <v>31</v>
      </c>
      <c r="C9" s="149" t="s">
        <v>168</v>
      </c>
      <c r="D9" s="105" t="s">
        <v>68</v>
      </c>
      <c r="E9" s="99"/>
      <c r="F9" s="99"/>
      <c r="G9" s="93"/>
      <c r="H9" s="93"/>
      <c r="I9" s="110" t="s">
        <v>65</v>
      </c>
      <c r="J9" s="97"/>
      <c r="L9" s="45"/>
      <c r="M9" s="45"/>
      <c r="N9" s="45"/>
      <c r="O9" s="45"/>
      <c r="P9" s="45"/>
      <c r="Q9" s="24"/>
    </row>
    <row r="10" spans="1:17" ht="15" x14ac:dyDescent="0.2">
      <c r="A10" s="51" t="s">
        <v>6</v>
      </c>
      <c r="B10" s="83" t="s">
        <v>32</v>
      </c>
      <c r="C10" s="149" t="s">
        <v>169</v>
      </c>
      <c r="D10" s="36"/>
      <c r="G10" s="20"/>
      <c r="I10" s="98"/>
      <c r="J10" s="97"/>
      <c r="L10" s="117"/>
      <c r="M10" s="117"/>
      <c r="N10" s="117"/>
      <c r="O10" s="117"/>
      <c r="P10" s="117"/>
      <c r="Q10" s="24"/>
    </row>
    <row r="11" spans="1:17" ht="15" x14ac:dyDescent="0.2">
      <c r="A11" s="51" t="s">
        <v>9</v>
      </c>
      <c r="B11" s="83" t="s">
        <v>33</v>
      </c>
      <c r="C11" s="149"/>
      <c r="D11" s="39" t="s">
        <v>3</v>
      </c>
      <c r="E11" s="88" t="str">
        <f>INDEX(Purpose,Purp)</f>
        <v>Other</v>
      </c>
      <c r="F11" s="88"/>
      <c r="G11" s="20"/>
      <c r="I11" s="98"/>
      <c r="J11" s="97"/>
      <c r="L11" s="117"/>
      <c r="M11" s="117"/>
      <c r="N11" s="117"/>
      <c r="O11" s="117"/>
      <c r="P11" s="117"/>
      <c r="Q11" s="24"/>
    </row>
    <row r="12" spans="1:17" ht="15" x14ac:dyDescent="0.2">
      <c r="A12" s="51"/>
      <c r="B12" s="106"/>
      <c r="C12" s="83"/>
      <c r="D12" s="40" t="str">
        <f>IF(INDEX(Reason,Purp)="","",INDEX(Reason,Purp))</f>
        <v>Explanation:</v>
      </c>
      <c r="E12" s="88" t="s">
        <v>5</v>
      </c>
      <c r="F12" s="88"/>
      <c r="G12" s="20"/>
      <c r="I12" s="98"/>
      <c r="J12" s="97"/>
      <c r="L12" s="117"/>
      <c r="M12" s="117"/>
      <c r="N12" s="117"/>
      <c r="O12" s="117"/>
      <c r="P12" s="117"/>
      <c r="Q12" s="24"/>
    </row>
    <row r="13" spans="1:17" x14ac:dyDescent="0.2">
      <c r="C13" s="20"/>
      <c r="D13" s="39" t="s">
        <v>7</v>
      </c>
      <c r="E13" s="94"/>
      <c r="F13" s="94"/>
      <c r="G13" s="94"/>
      <c r="H13" s="94"/>
      <c r="I13" s="111" t="s">
        <v>8</v>
      </c>
      <c r="J13" s="97"/>
      <c r="L13" s="46"/>
      <c r="M13" s="46"/>
      <c r="N13" s="46"/>
      <c r="O13" s="46"/>
      <c r="P13" s="46"/>
      <c r="Q13" s="24"/>
    </row>
    <row r="14" spans="1:17" ht="15" x14ac:dyDescent="0.25">
      <c r="A14" s="51"/>
      <c r="B14" s="106"/>
      <c r="C14" s="83"/>
      <c r="D14" s="29"/>
      <c r="E14" s="95"/>
      <c r="F14" s="95"/>
      <c r="G14" s="95"/>
      <c r="H14" s="95"/>
      <c r="I14" s="111" t="s">
        <v>10</v>
      </c>
      <c r="J14" s="97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6"/>
      <c r="B15" s="107"/>
      <c r="C15" s="77"/>
      <c r="D15" s="78"/>
      <c r="E15" s="79"/>
      <c r="F15" s="80"/>
      <c r="G15" s="80"/>
      <c r="H15" s="81"/>
      <c r="I15" s="81"/>
      <c r="J15" s="82"/>
      <c r="L15" s="46"/>
      <c r="M15" s="46"/>
      <c r="N15" s="46"/>
      <c r="O15" s="46"/>
      <c r="P15" s="46"/>
      <c r="Q15" s="54"/>
    </row>
    <row r="16" spans="1:17" ht="15.75" thickBot="1" x14ac:dyDescent="0.3">
      <c r="C16" s="59"/>
      <c r="D16" s="30"/>
      <c r="E16" s="31"/>
      <c r="F16" s="31"/>
      <c r="G16" s="31"/>
      <c r="H16" s="168" t="s">
        <v>25</v>
      </c>
      <c r="I16" s="168"/>
      <c r="J16" s="169"/>
      <c r="K16" s="169"/>
      <c r="L16" s="47"/>
      <c r="M16" s="47"/>
      <c r="N16" s="47"/>
      <c r="O16" s="47"/>
      <c r="P16" s="47"/>
      <c r="Q16" s="24"/>
    </row>
    <row r="17" spans="1:19" s="32" customFormat="1" ht="28.5" customHeight="1" x14ac:dyDescent="0.25">
      <c r="A17" s="60" t="s">
        <v>15</v>
      </c>
      <c r="B17" s="61" t="s">
        <v>16</v>
      </c>
      <c r="C17" s="61" t="s">
        <v>11</v>
      </c>
      <c r="D17" s="61" t="s">
        <v>58</v>
      </c>
      <c r="E17" s="61" t="s">
        <v>12</v>
      </c>
      <c r="F17" s="61" t="s">
        <v>21</v>
      </c>
      <c r="G17" s="61" t="s">
        <v>70</v>
      </c>
      <c r="H17" s="61" t="s">
        <v>24</v>
      </c>
      <c r="I17" s="62" t="s">
        <v>69</v>
      </c>
      <c r="J17" s="61" t="s">
        <v>13</v>
      </c>
      <c r="K17" s="63" t="s">
        <v>14</v>
      </c>
      <c r="L17" s="48"/>
      <c r="M17" s="55" t="s">
        <v>22</v>
      </c>
      <c r="N17" s="55" t="s">
        <v>23</v>
      </c>
      <c r="O17" s="55" t="s">
        <v>28</v>
      </c>
      <c r="P17" s="55" t="s">
        <v>29</v>
      </c>
      <c r="Q17" s="32" t="s">
        <v>136</v>
      </c>
      <c r="R17" s="32" t="s">
        <v>162</v>
      </c>
      <c r="S17" s="146" t="s">
        <v>161</v>
      </c>
    </row>
    <row r="18" spans="1:19" s="33" customFormat="1" x14ac:dyDescent="0.2">
      <c r="A18" s="124" t="s">
        <v>124</v>
      </c>
      <c r="B18" s="2"/>
      <c r="C18" s="119" t="s">
        <v>154</v>
      </c>
      <c r="D18" s="120" t="s">
        <v>125</v>
      </c>
      <c r="E18" s="119" t="s">
        <v>150</v>
      </c>
      <c r="F18" s="2"/>
      <c r="G18" s="120" t="s">
        <v>155</v>
      </c>
      <c r="H18" s="2"/>
      <c r="I18" s="121">
        <v>28.618300000000001</v>
      </c>
      <c r="J18" s="122">
        <v>12</v>
      </c>
      <c r="K18" s="115">
        <f t="shared" ref="K18" si="0">J18*I18</f>
        <v>343.4196</v>
      </c>
      <c r="L18" s="6"/>
      <c r="M18" s="6">
        <v>122</v>
      </c>
      <c r="N18" s="115">
        <f t="shared" ref="N18" si="1">S18</f>
        <v>30</v>
      </c>
      <c r="O18" s="6"/>
      <c r="P18" s="122" t="s">
        <v>127</v>
      </c>
      <c r="Q18" s="125"/>
      <c r="R18" s="143">
        <f t="shared" ref="R18:R21" si="2">M18*0.7</f>
        <v>85.399999999999991</v>
      </c>
      <c r="S18" s="143">
        <v>30</v>
      </c>
    </row>
    <row r="19" spans="1:19" s="33" customFormat="1" x14ac:dyDescent="0.2">
      <c r="A19" s="124"/>
      <c r="B19" s="11"/>
      <c r="C19" s="135"/>
      <c r="D19" s="128"/>
      <c r="E19" s="132"/>
      <c r="F19" s="129"/>
      <c r="G19" s="133"/>
      <c r="H19" s="129"/>
      <c r="I19" s="137"/>
      <c r="J19" s="138"/>
      <c r="K19" s="115"/>
      <c r="L19" s="38"/>
      <c r="M19" s="131"/>
      <c r="N19" s="115"/>
      <c r="O19" s="131"/>
      <c r="P19" s="130"/>
      <c r="Q19" s="134"/>
      <c r="R19" s="143">
        <f t="shared" si="2"/>
        <v>0</v>
      </c>
      <c r="S19" s="143">
        <v>5</v>
      </c>
    </row>
    <row r="20" spans="1:19" s="33" customFormat="1" x14ac:dyDescent="0.2">
      <c r="A20" s="124"/>
      <c r="B20" s="127"/>
      <c r="C20" s="136"/>
      <c r="D20" s="128"/>
      <c r="E20" s="136"/>
      <c r="F20" s="129"/>
      <c r="G20" s="133"/>
      <c r="H20" s="129"/>
      <c r="I20" s="137"/>
      <c r="J20" s="138"/>
      <c r="K20" s="115"/>
      <c r="L20" s="38"/>
      <c r="M20" s="131"/>
      <c r="N20" s="115"/>
      <c r="O20" s="131"/>
      <c r="P20" s="130"/>
      <c r="Q20" s="134"/>
      <c r="R20" s="143">
        <f t="shared" si="2"/>
        <v>0</v>
      </c>
      <c r="S20" s="143">
        <v>5</v>
      </c>
    </row>
    <row r="21" spans="1:19" s="33" customFormat="1" ht="15" x14ac:dyDescent="0.25">
      <c r="A21" s="124"/>
      <c r="B21" s="127"/>
      <c r="C21" s="136"/>
      <c r="D21" s="128"/>
      <c r="E21" s="136"/>
      <c r="F21" s="129"/>
      <c r="G21" s="133"/>
      <c r="H21" s="129"/>
      <c r="I21" s="137"/>
      <c r="J21" s="138"/>
      <c r="K21" s="115"/>
      <c r="L21" s="38"/>
      <c r="M21" s="131"/>
      <c r="N21" s="115"/>
      <c r="O21" s="131"/>
      <c r="P21" s="130"/>
      <c r="Q21" s="126"/>
      <c r="R21" s="143">
        <f t="shared" si="2"/>
        <v>0</v>
      </c>
      <c r="S21" s="143">
        <v>5</v>
      </c>
    </row>
    <row r="22" spans="1:19" s="33" customFormat="1" ht="15.75" customHeight="1" x14ac:dyDescent="0.2">
      <c r="A22" s="64"/>
      <c r="B22" s="108"/>
      <c r="C22" s="11"/>
      <c r="D22" s="11"/>
      <c r="E22" s="2"/>
      <c r="F22" s="2"/>
      <c r="G22" s="2"/>
      <c r="H22" s="3"/>
      <c r="I22" s="4"/>
      <c r="J22" s="5"/>
      <c r="K22" s="65"/>
      <c r="L22" s="38"/>
      <c r="M22" s="6"/>
      <c r="N22" s="6"/>
      <c r="O22" s="6"/>
      <c r="P22" s="6"/>
    </row>
    <row r="23" spans="1:19" x14ac:dyDescent="0.2">
      <c r="A23" s="64"/>
      <c r="B23" s="108"/>
      <c r="C23" s="2"/>
      <c r="D23" s="11"/>
      <c r="E23" s="2"/>
      <c r="F23" s="2"/>
      <c r="G23" s="2"/>
      <c r="H23" s="2"/>
      <c r="I23" s="4"/>
      <c r="J23" s="5"/>
      <c r="K23" s="65"/>
      <c r="L23" s="38"/>
      <c r="M23" s="6"/>
      <c r="N23" s="6"/>
      <c r="O23" s="6"/>
      <c r="P23" s="6"/>
    </row>
    <row r="24" spans="1:19" s="34" customFormat="1" x14ac:dyDescent="0.2">
      <c r="A24" s="64"/>
      <c r="B24" s="108"/>
      <c r="C24" s="2"/>
      <c r="D24" s="11"/>
      <c r="E24" s="2"/>
      <c r="F24" s="2"/>
      <c r="G24" s="2"/>
      <c r="H24" s="2"/>
      <c r="I24" s="4"/>
      <c r="J24" s="5"/>
      <c r="K24" s="65"/>
      <c r="L24" s="38"/>
      <c r="M24" s="6"/>
      <c r="N24" s="6"/>
      <c r="O24" s="6"/>
      <c r="P24" s="6"/>
    </row>
    <row r="25" spans="1:19" s="34" customFormat="1" x14ac:dyDescent="0.2">
      <c r="A25" s="64"/>
      <c r="B25" s="108"/>
      <c r="C25" s="2"/>
      <c r="D25" s="11"/>
      <c r="E25" s="2"/>
      <c r="F25" s="2"/>
      <c r="G25" s="2"/>
      <c r="H25" s="2"/>
      <c r="I25" s="4"/>
      <c r="J25" s="5"/>
      <c r="K25" s="65"/>
      <c r="L25" s="38"/>
      <c r="M25" s="6"/>
      <c r="N25" s="6"/>
      <c r="O25" s="6"/>
      <c r="P25" s="6"/>
    </row>
    <row r="26" spans="1:19" s="34" customFormat="1" x14ac:dyDescent="0.2">
      <c r="A26" s="64"/>
      <c r="B26" s="108"/>
      <c r="C26" s="2"/>
      <c r="D26" s="11"/>
      <c r="E26" s="2"/>
      <c r="F26" s="2"/>
      <c r="G26" s="2"/>
      <c r="H26" s="2"/>
      <c r="I26" s="4"/>
      <c r="J26" s="5"/>
      <c r="K26" s="65"/>
      <c r="L26" s="38"/>
      <c r="M26" s="6"/>
      <c r="N26" s="6"/>
      <c r="O26" s="6"/>
      <c r="P26" s="6"/>
    </row>
    <row r="27" spans="1:19" s="34" customFormat="1" x14ac:dyDescent="0.2">
      <c r="A27" s="64"/>
      <c r="B27" s="108"/>
      <c r="C27" s="2"/>
      <c r="D27" s="11"/>
      <c r="E27" s="2"/>
      <c r="F27" s="2"/>
      <c r="G27" s="2"/>
      <c r="H27" s="2"/>
      <c r="I27" s="4"/>
      <c r="J27" s="5"/>
      <c r="K27" s="65"/>
      <c r="L27" s="38"/>
      <c r="M27" s="6"/>
      <c r="N27" s="6"/>
      <c r="O27" s="6"/>
      <c r="P27" s="6"/>
    </row>
    <row r="28" spans="1:19" s="34" customFormat="1" x14ac:dyDescent="0.2">
      <c r="A28" s="64"/>
      <c r="B28" s="108"/>
      <c r="C28" s="2"/>
      <c r="D28" s="11"/>
      <c r="E28" s="2"/>
      <c r="F28" s="2"/>
      <c r="G28" s="2"/>
      <c r="H28" s="2"/>
      <c r="I28" s="4"/>
      <c r="J28" s="5"/>
      <c r="K28" s="65"/>
      <c r="L28" s="38"/>
      <c r="M28" s="6"/>
      <c r="N28" s="6"/>
      <c r="O28" s="6"/>
      <c r="P28" s="6"/>
    </row>
    <row r="29" spans="1:19" s="34" customFormat="1" x14ac:dyDescent="0.2">
      <c r="A29" s="64"/>
      <c r="B29" s="108"/>
      <c r="C29" s="2"/>
      <c r="D29" s="11"/>
      <c r="E29" s="2"/>
      <c r="F29" s="2"/>
      <c r="G29" s="2"/>
      <c r="H29" s="2"/>
      <c r="I29" s="4"/>
      <c r="J29" s="5"/>
      <c r="K29" s="65"/>
      <c r="L29" s="38"/>
      <c r="M29" s="6"/>
      <c r="N29" s="6"/>
      <c r="O29" s="6"/>
      <c r="P29" s="6"/>
    </row>
    <row r="30" spans="1:19" s="34" customFormat="1" x14ac:dyDescent="0.2">
      <c r="A30" s="64"/>
      <c r="B30" s="108"/>
      <c r="C30" s="2"/>
      <c r="D30" s="11"/>
      <c r="E30" s="2"/>
      <c r="F30" s="2"/>
      <c r="G30" s="2"/>
      <c r="H30" s="2"/>
      <c r="I30" s="4"/>
      <c r="J30" s="5"/>
      <c r="K30" s="65"/>
      <c r="L30" s="38"/>
      <c r="M30" s="6"/>
      <c r="N30" s="6"/>
      <c r="O30" s="6"/>
      <c r="P30" s="6"/>
    </row>
    <row r="31" spans="1:19" x14ac:dyDescent="0.2">
      <c r="A31" s="64"/>
      <c r="B31" s="108"/>
      <c r="C31" s="2"/>
      <c r="D31" s="11"/>
      <c r="E31" s="2"/>
      <c r="F31" s="2"/>
      <c r="G31" s="2"/>
      <c r="H31" s="2"/>
      <c r="I31" s="4"/>
      <c r="J31" s="5"/>
      <c r="K31" s="65"/>
      <c r="L31" s="38"/>
      <c r="M31" s="6"/>
      <c r="N31" s="6"/>
      <c r="O31" s="6"/>
      <c r="P31" s="6"/>
    </row>
    <row r="32" spans="1:19" x14ac:dyDescent="0.2">
      <c r="A32" s="64"/>
      <c r="B32" s="108"/>
      <c r="C32" s="2"/>
      <c r="D32" s="11"/>
      <c r="E32" s="2"/>
      <c r="F32" s="2"/>
      <c r="G32" s="2"/>
      <c r="H32" s="2"/>
      <c r="I32" s="4"/>
      <c r="J32" s="5"/>
      <c r="K32" s="65"/>
      <c r="L32" s="38"/>
      <c r="M32" s="6"/>
      <c r="N32" s="6"/>
      <c r="O32" s="6"/>
      <c r="P32" s="6"/>
    </row>
    <row r="33" spans="1:16" x14ac:dyDescent="0.2">
      <c r="A33" s="64"/>
      <c r="B33" s="108"/>
      <c r="C33" s="2"/>
      <c r="D33" s="11"/>
      <c r="E33" s="2"/>
      <c r="F33" s="2"/>
      <c r="G33" s="2"/>
      <c r="H33" s="2"/>
      <c r="I33" s="4"/>
      <c r="J33" s="5"/>
      <c r="K33" s="65"/>
      <c r="L33" s="38"/>
      <c r="M33" s="6"/>
      <c r="N33" s="6"/>
      <c r="O33" s="6"/>
      <c r="P33" s="6"/>
    </row>
    <row r="34" spans="1:16" x14ac:dyDescent="0.2">
      <c r="A34" s="64"/>
      <c r="B34" s="108"/>
      <c r="C34" s="2"/>
      <c r="D34" s="11"/>
      <c r="E34" s="2"/>
      <c r="F34" s="2"/>
      <c r="G34" s="2"/>
      <c r="H34" s="2"/>
      <c r="I34" s="4"/>
      <c r="J34" s="5"/>
      <c r="K34" s="65"/>
      <c r="L34" s="38"/>
      <c r="M34" s="6"/>
      <c r="N34" s="6"/>
      <c r="O34" s="6"/>
      <c r="P34" s="6"/>
    </row>
    <row r="35" spans="1:16" x14ac:dyDescent="0.2">
      <c r="A35" s="64"/>
      <c r="B35" s="108"/>
      <c r="C35" s="2"/>
      <c r="D35" s="11"/>
      <c r="E35" s="2"/>
      <c r="F35" s="2"/>
      <c r="G35" s="2"/>
      <c r="H35" s="2"/>
      <c r="I35" s="4"/>
      <c r="J35" s="5"/>
      <c r="K35" s="65"/>
      <c r="L35" s="38"/>
      <c r="M35" s="6"/>
      <c r="N35" s="6"/>
      <c r="O35" s="6"/>
      <c r="P35" s="6"/>
    </row>
    <row r="36" spans="1:16" x14ac:dyDescent="0.2">
      <c r="A36" s="64"/>
      <c r="B36" s="108"/>
      <c r="C36" s="2"/>
      <c r="D36" s="11"/>
      <c r="E36" s="2"/>
      <c r="F36" s="2"/>
      <c r="G36" s="2"/>
      <c r="H36" s="2"/>
      <c r="I36" s="4"/>
      <c r="J36" s="5"/>
      <c r="K36" s="65"/>
      <c r="L36" s="38"/>
      <c r="M36" s="6"/>
      <c r="N36" s="6"/>
      <c r="O36" s="6"/>
      <c r="P36" s="6"/>
    </row>
    <row r="37" spans="1:16" x14ac:dyDescent="0.2">
      <c r="A37" s="64"/>
      <c r="B37" s="108"/>
      <c r="C37" s="2"/>
      <c r="D37" s="11"/>
      <c r="E37" s="2"/>
      <c r="F37" s="2"/>
      <c r="G37" s="2"/>
      <c r="H37" s="2"/>
      <c r="I37" s="4"/>
      <c r="J37" s="5"/>
      <c r="K37" s="65"/>
      <c r="L37" s="38"/>
      <c r="M37" s="6"/>
      <c r="N37" s="6"/>
      <c r="O37" s="6"/>
      <c r="P37" s="6"/>
    </row>
    <row r="38" spans="1:16" x14ac:dyDescent="0.2">
      <c r="A38" s="64"/>
      <c r="B38" s="108"/>
      <c r="C38" s="2"/>
      <c r="D38" s="11"/>
      <c r="E38" s="2"/>
      <c r="F38" s="2"/>
      <c r="G38" s="2"/>
      <c r="H38" s="2"/>
      <c r="I38" s="4"/>
      <c r="J38" s="5"/>
      <c r="K38" s="65"/>
      <c r="L38" s="38"/>
      <c r="M38" s="6"/>
      <c r="N38" s="6"/>
      <c r="O38" s="6"/>
      <c r="P38" s="6"/>
    </row>
    <row r="39" spans="1:16" x14ac:dyDescent="0.2">
      <c r="A39" s="64"/>
      <c r="B39" s="108"/>
      <c r="C39" s="2"/>
      <c r="D39" s="11"/>
      <c r="E39" s="2"/>
      <c r="F39" s="2"/>
      <c r="G39" s="2"/>
      <c r="H39" s="2"/>
      <c r="I39" s="4"/>
      <c r="J39" s="5"/>
      <c r="K39" s="65"/>
      <c r="L39" s="38"/>
      <c r="M39" s="6"/>
      <c r="N39" s="6"/>
      <c r="O39" s="6"/>
      <c r="P39" s="6"/>
    </row>
    <row r="40" spans="1:16" x14ac:dyDescent="0.2">
      <c r="A40" s="64"/>
      <c r="B40" s="108"/>
      <c r="C40" s="2"/>
      <c r="D40" s="11"/>
      <c r="E40" s="2"/>
      <c r="F40" s="2"/>
      <c r="G40" s="2"/>
      <c r="H40" s="2"/>
      <c r="I40" s="4"/>
      <c r="J40" s="5"/>
      <c r="K40" s="65"/>
      <c r="L40" s="38"/>
      <c r="M40" s="6"/>
      <c r="N40" s="6"/>
      <c r="O40" s="6"/>
      <c r="P40" s="6"/>
    </row>
    <row r="41" spans="1:16" x14ac:dyDescent="0.2">
      <c r="A41" s="64"/>
      <c r="B41" s="108"/>
      <c r="C41" s="2"/>
      <c r="D41" s="11"/>
      <c r="E41" s="2"/>
      <c r="F41" s="2"/>
      <c r="G41" s="2"/>
      <c r="H41" s="2"/>
      <c r="I41" s="4"/>
      <c r="J41" s="5"/>
      <c r="K41" s="65"/>
      <c r="L41" s="38"/>
      <c r="M41" s="6"/>
      <c r="N41" s="6"/>
      <c r="O41" s="6"/>
      <c r="P41" s="6"/>
    </row>
    <row r="42" spans="1:16" x14ac:dyDescent="0.2">
      <c r="A42" s="64"/>
      <c r="B42" s="108"/>
      <c r="C42" s="2"/>
      <c r="D42" s="11"/>
      <c r="E42" s="2"/>
      <c r="F42" s="2"/>
      <c r="G42" s="2"/>
      <c r="H42" s="2"/>
      <c r="I42" s="4"/>
      <c r="J42" s="5"/>
      <c r="K42" s="65"/>
      <c r="L42" s="38"/>
      <c r="M42" s="6"/>
      <c r="N42" s="6"/>
      <c r="O42" s="6"/>
      <c r="P42" s="6"/>
    </row>
    <row r="43" spans="1:16" x14ac:dyDescent="0.2">
      <c r="A43" s="64"/>
      <c r="B43" s="108"/>
      <c r="C43" s="2"/>
      <c r="D43" s="11"/>
      <c r="E43" s="2"/>
      <c r="F43" s="2"/>
      <c r="G43" s="2"/>
      <c r="H43" s="2"/>
      <c r="I43" s="4"/>
      <c r="J43" s="5"/>
      <c r="K43" s="65"/>
      <c r="L43" s="38"/>
      <c r="M43" s="6"/>
      <c r="N43" s="6"/>
      <c r="O43" s="6"/>
      <c r="P43" s="6"/>
    </row>
    <row r="44" spans="1:16" x14ac:dyDescent="0.2">
      <c r="A44" s="64"/>
      <c r="B44" s="108"/>
      <c r="C44" s="2"/>
      <c r="D44" s="11"/>
      <c r="E44" s="2"/>
      <c r="F44" s="2"/>
      <c r="G44" s="2"/>
      <c r="H44" s="2"/>
      <c r="I44" s="4"/>
      <c r="J44" s="5"/>
      <c r="K44" s="65"/>
      <c r="L44" s="38"/>
      <c r="M44" s="6"/>
      <c r="N44" s="6"/>
      <c r="O44" s="6"/>
      <c r="P44" s="6"/>
    </row>
    <row r="45" spans="1:16" x14ac:dyDescent="0.2">
      <c r="A45" s="64"/>
      <c r="B45" s="108"/>
      <c r="C45" s="2"/>
      <c r="D45" s="11"/>
      <c r="E45" s="2"/>
      <c r="F45" s="2"/>
      <c r="G45" s="2"/>
      <c r="H45" s="2"/>
      <c r="I45" s="4"/>
      <c r="J45" s="5"/>
      <c r="K45" s="65"/>
      <c r="L45" s="38"/>
      <c r="M45" s="6"/>
      <c r="N45" s="6"/>
      <c r="O45" s="6"/>
      <c r="P45" s="6"/>
    </row>
    <row r="46" spans="1:16" x14ac:dyDescent="0.2">
      <c r="A46" s="64"/>
      <c r="B46" s="108"/>
      <c r="C46" s="2"/>
      <c r="D46" s="11"/>
      <c r="E46" s="2"/>
      <c r="F46" s="2"/>
      <c r="G46" s="2"/>
      <c r="H46" s="2"/>
      <c r="I46" s="4"/>
      <c r="J46" s="5"/>
      <c r="K46" s="65"/>
      <c r="L46" s="38"/>
      <c r="M46" s="6"/>
      <c r="N46" s="6"/>
      <c r="O46" s="6"/>
      <c r="P46" s="6"/>
    </row>
    <row r="47" spans="1:16" x14ac:dyDescent="0.2">
      <c r="A47" s="64"/>
      <c r="B47" s="108"/>
      <c r="C47" s="2"/>
      <c r="D47" s="11"/>
      <c r="E47" s="2"/>
      <c r="F47" s="2"/>
      <c r="G47" s="2"/>
      <c r="H47" s="2"/>
      <c r="I47" s="4"/>
      <c r="J47" s="5"/>
      <c r="K47" s="65"/>
      <c r="L47" s="38"/>
      <c r="M47" s="6"/>
      <c r="N47" s="6"/>
      <c r="O47" s="6"/>
      <c r="P47" s="6"/>
    </row>
    <row r="48" spans="1:16" x14ac:dyDescent="0.2">
      <c r="A48" s="64"/>
      <c r="B48" s="108"/>
      <c r="C48" s="2"/>
      <c r="D48" s="11"/>
      <c r="E48" s="2"/>
      <c r="F48" s="2"/>
      <c r="G48" s="2"/>
      <c r="H48" s="2"/>
      <c r="I48" s="4"/>
      <c r="J48" s="5"/>
      <c r="K48" s="65"/>
      <c r="L48" s="38"/>
      <c r="M48" s="6"/>
      <c r="N48" s="6"/>
      <c r="O48" s="6"/>
      <c r="P48" s="6"/>
    </row>
    <row r="49" spans="1:16" x14ac:dyDescent="0.2">
      <c r="A49" s="64"/>
      <c r="B49" s="108"/>
      <c r="C49" s="2"/>
      <c r="D49" s="11"/>
      <c r="E49" s="2"/>
      <c r="F49" s="2"/>
      <c r="G49" s="2"/>
      <c r="H49" s="2"/>
      <c r="I49" s="4"/>
      <c r="J49" s="5"/>
      <c r="K49" s="65"/>
      <c r="L49" s="38"/>
      <c r="M49" s="6"/>
      <c r="N49" s="6"/>
      <c r="O49" s="6"/>
      <c r="P49" s="6"/>
    </row>
    <row r="50" spans="1:16" x14ac:dyDescent="0.2">
      <c r="A50" s="64"/>
      <c r="B50" s="108"/>
      <c r="C50" s="2"/>
      <c r="D50" s="11"/>
      <c r="E50" s="2"/>
      <c r="F50" s="2"/>
      <c r="G50" s="2"/>
      <c r="H50" s="2"/>
      <c r="I50" s="4"/>
      <c r="J50" s="5"/>
      <c r="K50" s="65"/>
      <c r="L50" s="38"/>
      <c r="M50" s="6"/>
      <c r="N50" s="6"/>
      <c r="O50" s="6"/>
      <c r="P50" s="6"/>
    </row>
    <row r="51" spans="1:16" x14ac:dyDescent="0.2">
      <c r="A51" s="64"/>
      <c r="B51" s="108"/>
      <c r="C51" s="2"/>
      <c r="D51" s="11"/>
      <c r="E51" s="2"/>
      <c r="F51" s="2"/>
      <c r="G51" s="2"/>
      <c r="H51" s="2"/>
      <c r="I51" s="4"/>
      <c r="J51" s="5"/>
      <c r="K51" s="65"/>
      <c r="L51" s="38"/>
      <c r="M51" s="6"/>
      <c r="N51" s="6"/>
      <c r="O51" s="6"/>
      <c r="P51" s="6"/>
    </row>
    <row r="52" spans="1:16" x14ac:dyDescent="0.2">
      <c r="A52" s="64"/>
      <c r="B52" s="108"/>
      <c r="C52" s="2"/>
      <c r="D52" s="11"/>
      <c r="E52" s="2"/>
      <c r="F52" s="2"/>
      <c r="G52" s="2"/>
      <c r="H52" s="2"/>
      <c r="I52" s="4"/>
      <c r="J52" s="5"/>
      <c r="K52" s="65"/>
      <c r="L52" s="38"/>
      <c r="M52" s="6"/>
      <c r="N52" s="6"/>
      <c r="O52" s="6"/>
      <c r="P52" s="6"/>
    </row>
    <row r="53" spans="1:16" x14ac:dyDescent="0.2">
      <c r="A53" s="64"/>
      <c r="B53" s="108"/>
      <c r="C53" s="2"/>
      <c r="D53" s="11"/>
      <c r="E53" s="2"/>
      <c r="F53" s="2"/>
      <c r="G53" s="2"/>
      <c r="H53" s="2"/>
      <c r="I53" s="4"/>
      <c r="J53" s="5"/>
      <c r="K53" s="65"/>
      <c r="L53" s="38"/>
      <c r="M53" s="6"/>
      <c r="N53" s="6"/>
      <c r="O53" s="6"/>
      <c r="P53" s="6"/>
    </row>
    <row r="54" spans="1:16" x14ac:dyDescent="0.2">
      <c r="A54" s="64"/>
      <c r="B54" s="108"/>
      <c r="C54" s="2"/>
      <c r="D54" s="11"/>
      <c r="E54" s="2"/>
      <c r="F54" s="2"/>
      <c r="G54" s="2"/>
      <c r="H54" s="2"/>
      <c r="I54" s="4"/>
      <c r="J54" s="5"/>
      <c r="K54" s="65"/>
      <c r="L54" s="38"/>
      <c r="M54" s="6"/>
      <c r="N54" s="6"/>
      <c r="O54" s="6"/>
      <c r="P54" s="6"/>
    </row>
    <row r="55" spans="1:16" x14ac:dyDescent="0.2">
      <c r="A55" s="64"/>
      <c r="B55" s="108"/>
      <c r="C55" s="2"/>
      <c r="D55" s="11"/>
      <c r="E55" s="2"/>
      <c r="F55" s="2"/>
      <c r="G55" s="2"/>
      <c r="H55" s="2"/>
      <c r="I55" s="4"/>
      <c r="J55" s="5"/>
      <c r="K55" s="65"/>
      <c r="L55" s="38"/>
      <c r="M55" s="6"/>
      <c r="N55" s="6"/>
      <c r="O55" s="6"/>
      <c r="P55" s="6"/>
    </row>
    <row r="56" spans="1:16" x14ac:dyDescent="0.2">
      <c r="A56" s="64"/>
      <c r="B56" s="108"/>
      <c r="C56" s="2"/>
      <c r="D56" s="11"/>
      <c r="E56" s="2"/>
      <c r="F56" s="2"/>
      <c r="G56" s="2"/>
      <c r="H56" s="2"/>
      <c r="I56" s="4"/>
      <c r="J56" s="5"/>
      <c r="K56" s="65"/>
      <c r="L56" s="38"/>
      <c r="M56" s="6"/>
      <c r="N56" s="6"/>
      <c r="O56" s="6"/>
      <c r="P56" s="6"/>
    </row>
    <row r="57" spans="1:16" x14ac:dyDescent="0.2">
      <c r="A57" s="64"/>
      <c r="B57" s="108"/>
      <c r="C57" s="2"/>
      <c r="D57" s="11"/>
      <c r="E57" s="2"/>
      <c r="F57" s="2"/>
      <c r="G57" s="2"/>
      <c r="H57" s="2"/>
      <c r="I57" s="4"/>
      <c r="J57" s="5"/>
      <c r="K57" s="65"/>
      <c r="L57" s="38"/>
      <c r="M57" s="6"/>
      <c r="N57" s="6"/>
      <c r="O57" s="6"/>
      <c r="P57" s="6"/>
    </row>
    <row r="58" spans="1:16" x14ac:dyDescent="0.2">
      <c r="A58" s="64"/>
      <c r="B58" s="108"/>
      <c r="C58" s="2"/>
      <c r="D58" s="11"/>
      <c r="E58" s="2"/>
      <c r="F58" s="2"/>
      <c r="G58" s="2"/>
      <c r="H58" s="2"/>
      <c r="I58" s="4"/>
      <c r="J58" s="5"/>
      <c r="K58" s="65"/>
      <c r="L58" s="38"/>
      <c r="M58" s="6"/>
      <c r="N58" s="6"/>
      <c r="O58" s="6"/>
      <c r="P58" s="6"/>
    </row>
    <row r="59" spans="1:16" x14ac:dyDescent="0.2">
      <c r="A59" s="64"/>
      <c r="B59" s="108"/>
      <c r="C59" s="2"/>
      <c r="D59" s="11"/>
      <c r="E59" s="2"/>
      <c r="F59" s="2"/>
      <c r="G59" s="2"/>
      <c r="H59" s="2"/>
      <c r="I59" s="4"/>
      <c r="J59" s="5"/>
      <c r="K59" s="65"/>
      <c r="L59" s="38"/>
      <c r="M59" s="6"/>
      <c r="N59" s="6"/>
      <c r="O59" s="6"/>
      <c r="P59" s="6"/>
    </row>
    <row r="60" spans="1:16" x14ac:dyDescent="0.2">
      <c r="A60" s="64"/>
      <c r="B60" s="108"/>
      <c r="C60" s="2"/>
      <c r="D60" s="11"/>
      <c r="E60" s="2"/>
      <c r="F60" s="2"/>
      <c r="G60" s="2"/>
      <c r="H60" s="2"/>
      <c r="I60" s="4"/>
      <c r="J60" s="5"/>
      <c r="K60" s="65"/>
      <c r="L60" s="38"/>
      <c r="M60" s="6"/>
      <c r="N60" s="6"/>
      <c r="O60" s="6"/>
      <c r="P60" s="6"/>
    </row>
    <row r="61" spans="1:16" x14ac:dyDescent="0.2">
      <c r="A61" s="64"/>
      <c r="B61" s="108"/>
      <c r="C61" s="2"/>
      <c r="D61" s="11"/>
      <c r="E61" s="2"/>
      <c r="F61" s="2"/>
      <c r="G61" s="2"/>
      <c r="H61" s="2"/>
      <c r="I61" s="4"/>
      <c r="J61" s="5"/>
      <c r="K61" s="65"/>
      <c r="L61" s="38"/>
      <c r="M61" s="6"/>
      <c r="N61" s="6"/>
      <c r="O61" s="6"/>
      <c r="P61" s="6"/>
    </row>
    <row r="62" spans="1:16" x14ac:dyDescent="0.2">
      <c r="A62" s="64"/>
      <c r="B62" s="108"/>
      <c r="C62" s="2"/>
      <c r="D62" s="11"/>
      <c r="E62" s="2"/>
      <c r="F62" s="2"/>
      <c r="G62" s="2"/>
      <c r="H62" s="2"/>
      <c r="I62" s="4"/>
      <c r="J62" s="5"/>
      <c r="K62" s="65"/>
      <c r="L62" s="38"/>
      <c r="M62" s="6"/>
      <c r="N62" s="6"/>
      <c r="O62" s="6"/>
      <c r="P62" s="6"/>
    </row>
    <row r="63" spans="1:16" x14ac:dyDescent="0.2">
      <c r="A63" s="64"/>
      <c r="B63" s="108"/>
      <c r="C63" s="2"/>
      <c r="D63" s="11"/>
      <c r="E63" s="2"/>
      <c r="F63" s="2"/>
      <c r="G63" s="2"/>
      <c r="H63" s="2"/>
      <c r="I63" s="4"/>
      <c r="J63" s="5"/>
      <c r="K63" s="65"/>
      <c r="L63" s="38"/>
      <c r="M63" s="6"/>
      <c r="N63" s="6"/>
      <c r="O63" s="6"/>
      <c r="P63" s="6"/>
    </row>
    <row r="64" spans="1:16" x14ac:dyDescent="0.2">
      <c r="A64" s="64"/>
      <c r="B64" s="108"/>
      <c r="C64" s="2"/>
      <c r="D64" s="11"/>
      <c r="E64" s="2"/>
      <c r="F64" s="2"/>
      <c r="G64" s="2"/>
      <c r="H64" s="2"/>
      <c r="I64" s="4"/>
      <c r="J64" s="5"/>
      <c r="K64" s="65"/>
      <c r="L64" s="38"/>
      <c r="M64" s="6"/>
      <c r="N64" s="6"/>
      <c r="O64" s="6"/>
      <c r="P64" s="6"/>
    </row>
    <row r="65" spans="1:16" x14ac:dyDescent="0.2">
      <c r="A65" s="64"/>
      <c r="B65" s="108"/>
      <c r="C65" s="2"/>
      <c r="D65" s="11"/>
      <c r="E65" s="2"/>
      <c r="F65" s="2"/>
      <c r="G65" s="2"/>
      <c r="H65" s="2"/>
      <c r="I65" s="4"/>
      <c r="J65" s="5"/>
      <c r="K65" s="65"/>
      <c r="L65" s="38"/>
      <c r="M65" s="6"/>
      <c r="N65" s="6"/>
      <c r="O65" s="6"/>
      <c r="P65" s="6"/>
    </row>
    <row r="66" spans="1:16" x14ac:dyDescent="0.2">
      <c r="A66" s="64"/>
      <c r="B66" s="108"/>
      <c r="C66" s="2"/>
      <c r="D66" s="11"/>
      <c r="E66" s="2"/>
      <c r="F66" s="2"/>
      <c r="G66" s="2"/>
      <c r="H66" s="2"/>
      <c r="I66" s="4"/>
      <c r="J66" s="5"/>
      <c r="K66" s="65"/>
      <c r="L66" s="38"/>
      <c r="M66" s="6"/>
      <c r="N66" s="6"/>
      <c r="O66" s="6"/>
      <c r="P66" s="6"/>
    </row>
    <row r="67" spans="1:16" x14ac:dyDescent="0.2">
      <c r="A67" s="64"/>
      <c r="B67" s="108"/>
      <c r="C67" s="2"/>
      <c r="D67" s="11"/>
      <c r="E67" s="2"/>
      <c r="F67" s="2"/>
      <c r="G67" s="2"/>
      <c r="H67" s="2"/>
      <c r="I67" s="4"/>
      <c r="J67" s="5"/>
      <c r="K67" s="65"/>
      <c r="L67" s="38"/>
      <c r="M67" s="6"/>
      <c r="N67" s="6"/>
      <c r="O67" s="6"/>
      <c r="P67" s="6"/>
    </row>
    <row r="68" spans="1:16" x14ac:dyDescent="0.2">
      <c r="A68" s="64"/>
      <c r="B68" s="108"/>
      <c r="C68" s="2"/>
      <c r="D68" s="11"/>
      <c r="E68" s="2"/>
      <c r="F68" s="2"/>
      <c r="G68" s="2"/>
      <c r="H68" s="2"/>
      <c r="I68" s="4"/>
      <c r="J68" s="5"/>
      <c r="K68" s="65"/>
      <c r="L68" s="38"/>
      <c r="M68" s="6"/>
      <c r="N68" s="6"/>
      <c r="O68" s="6"/>
      <c r="P68" s="6"/>
    </row>
    <row r="69" spans="1:16" x14ac:dyDescent="0.2">
      <c r="A69" s="64"/>
      <c r="B69" s="108"/>
      <c r="C69" s="2"/>
      <c r="D69" s="11"/>
      <c r="E69" s="2"/>
      <c r="F69" s="2"/>
      <c r="G69" s="2"/>
      <c r="H69" s="2"/>
      <c r="I69" s="4"/>
      <c r="J69" s="5"/>
      <c r="K69" s="65"/>
      <c r="L69" s="38"/>
      <c r="M69" s="6"/>
      <c r="N69" s="6"/>
      <c r="O69" s="6"/>
      <c r="P69" s="6"/>
    </row>
    <row r="70" spans="1:16" x14ac:dyDescent="0.2">
      <c r="A70" s="64"/>
      <c r="B70" s="108"/>
      <c r="C70" s="2"/>
      <c r="D70" s="11"/>
      <c r="E70" s="2"/>
      <c r="F70" s="2"/>
      <c r="G70" s="2"/>
      <c r="H70" s="2"/>
      <c r="I70" s="4"/>
      <c r="J70" s="5"/>
      <c r="K70" s="65"/>
      <c r="L70" s="38"/>
      <c r="M70" s="6"/>
      <c r="N70" s="6"/>
      <c r="O70" s="6"/>
      <c r="P70" s="6"/>
    </row>
    <row r="71" spans="1:16" x14ac:dyDescent="0.2">
      <c r="A71" s="64"/>
      <c r="B71" s="108"/>
      <c r="C71" s="2"/>
      <c r="D71" s="11"/>
      <c r="E71" s="2"/>
      <c r="F71" s="2"/>
      <c r="G71" s="2"/>
      <c r="H71" s="2"/>
      <c r="I71" s="4"/>
      <c r="J71" s="5"/>
      <c r="K71" s="65"/>
      <c r="L71" s="38"/>
      <c r="M71" s="6"/>
      <c r="N71" s="6"/>
      <c r="O71" s="6"/>
      <c r="P71" s="6"/>
    </row>
    <row r="72" spans="1:16" x14ac:dyDescent="0.2">
      <c r="A72" s="64"/>
      <c r="B72" s="108"/>
      <c r="C72" s="2"/>
      <c r="D72" s="11"/>
      <c r="E72" s="2"/>
      <c r="F72" s="2"/>
      <c r="G72" s="2"/>
      <c r="H72" s="2"/>
      <c r="I72" s="4"/>
      <c r="J72" s="5"/>
      <c r="K72" s="65"/>
      <c r="L72" s="38"/>
      <c r="M72" s="6"/>
      <c r="N72" s="6"/>
      <c r="O72" s="6"/>
      <c r="P72" s="6"/>
    </row>
    <row r="73" spans="1:16" x14ac:dyDescent="0.2">
      <c r="A73" s="64"/>
      <c r="B73" s="108"/>
      <c r="C73" s="7"/>
      <c r="D73" s="11"/>
      <c r="E73" s="7"/>
      <c r="F73" s="7"/>
      <c r="G73" s="7"/>
      <c r="H73" s="2"/>
      <c r="I73" s="15"/>
      <c r="J73" s="8"/>
      <c r="K73" s="65"/>
      <c r="L73" s="38"/>
      <c r="M73" s="6"/>
      <c r="N73" s="6"/>
      <c r="O73" s="6"/>
      <c r="P73" s="6"/>
    </row>
    <row r="74" spans="1:16" x14ac:dyDescent="0.2">
      <c r="A74" s="64"/>
      <c r="B74" s="108"/>
      <c r="C74" s="7"/>
      <c r="D74" s="11"/>
      <c r="E74" s="7"/>
      <c r="F74" s="7"/>
      <c r="G74" s="7"/>
      <c r="H74" s="2"/>
      <c r="I74" s="15"/>
      <c r="J74" s="8"/>
      <c r="K74" s="65"/>
      <c r="L74" s="38"/>
      <c r="M74" s="6"/>
      <c r="N74" s="6"/>
      <c r="O74" s="6"/>
      <c r="P74" s="6"/>
    </row>
    <row r="75" spans="1:16" x14ac:dyDescent="0.2">
      <c r="A75" s="64"/>
      <c r="B75" s="108"/>
      <c r="C75" s="7"/>
      <c r="D75" s="11"/>
      <c r="E75" s="7"/>
      <c r="F75" s="7"/>
      <c r="G75" s="7"/>
      <c r="H75" s="2"/>
      <c r="I75" s="15"/>
      <c r="J75" s="8"/>
      <c r="K75" s="65"/>
      <c r="L75" s="38"/>
      <c r="M75" s="6"/>
      <c r="N75" s="6"/>
      <c r="O75" s="6"/>
      <c r="P75" s="6"/>
    </row>
    <row r="76" spans="1:16" x14ac:dyDescent="0.2">
      <c r="A76" s="64"/>
      <c r="B76" s="108"/>
      <c r="C76" s="7"/>
      <c r="D76" s="11"/>
      <c r="E76" s="7"/>
      <c r="F76" s="7"/>
      <c r="G76" s="7"/>
      <c r="H76" s="2"/>
      <c r="I76" s="15"/>
      <c r="J76" s="8"/>
      <c r="K76" s="65"/>
      <c r="L76" s="38"/>
      <c r="M76" s="6"/>
      <c r="N76" s="6"/>
      <c r="O76" s="6"/>
      <c r="P76" s="6"/>
    </row>
    <row r="77" spans="1:16" x14ac:dyDescent="0.2">
      <c r="A77" s="64"/>
      <c r="B77" s="108"/>
      <c r="C77" s="7"/>
      <c r="D77" s="11"/>
      <c r="E77" s="7"/>
      <c r="F77" s="7"/>
      <c r="G77" s="7"/>
      <c r="H77" s="2"/>
      <c r="I77" s="15"/>
      <c r="J77" s="8"/>
      <c r="K77" s="65"/>
      <c r="L77" s="38"/>
      <c r="M77" s="6"/>
      <c r="N77" s="6"/>
      <c r="O77" s="6"/>
      <c r="P77" s="6"/>
    </row>
    <row r="78" spans="1:16" x14ac:dyDescent="0.2">
      <c r="A78" s="64"/>
      <c r="B78" s="108"/>
      <c r="C78" s="7"/>
      <c r="D78" s="11"/>
      <c r="E78" s="7"/>
      <c r="F78" s="7"/>
      <c r="G78" s="7"/>
      <c r="H78" s="2"/>
      <c r="I78" s="15"/>
      <c r="J78" s="8"/>
      <c r="K78" s="65"/>
      <c r="L78" s="38"/>
      <c r="M78" s="6"/>
      <c r="N78" s="6"/>
      <c r="O78" s="6"/>
      <c r="P78" s="6"/>
    </row>
    <row r="79" spans="1:16" x14ac:dyDescent="0.2">
      <c r="A79" s="64"/>
      <c r="B79" s="108"/>
      <c r="C79" s="7"/>
      <c r="D79" s="11"/>
      <c r="E79" s="7"/>
      <c r="F79" s="7"/>
      <c r="G79" s="7"/>
      <c r="H79" s="2"/>
      <c r="I79" s="15"/>
      <c r="J79" s="8"/>
      <c r="K79" s="65"/>
      <c r="L79" s="38"/>
      <c r="M79" s="6"/>
      <c r="N79" s="6"/>
      <c r="O79" s="6"/>
      <c r="P79" s="6"/>
    </row>
    <row r="80" spans="1:16" x14ac:dyDescent="0.2">
      <c r="A80" s="64"/>
      <c r="B80" s="108"/>
      <c r="C80" s="7"/>
      <c r="D80" s="11"/>
      <c r="E80" s="7"/>
      <c r="F80" s="7"/>
      <c r="G80" s="7"/>
      <c r="H80" s="2"/>
      <c r="I80" s="15"/>
      <c r="J80" s="8"/>
      <c r="K80" s="65"/>
      <c r="L80" s="38"/>
      <c r="M80" s="6"/>
      <c r="N80" s="6"/>
      <c r="O80" s="6"/>
      <c r="P80" s="6"/>
    </row>
    <row r="81" spans="1:16" x14ac:dyDescent="0.2">
      <c r="A81" s="64"/>
      <c r="B81" s="108"/>
      <c r="C81" s="7"/>
      <c r="D81" s="11"/>
      <c r="E81" s="7"/>
      <c r="F81" s="7"/>
      <c r="G81" s="7"/>
      <c r="H81" s="2"/>
      <c r="I81" s="15"/>
      <c r="J81" s="8"/>
      <c r="K81" s="65"/>
      <c r="L81" s="38"/>
      <c r="M81" s="6"/>
      <c r="N81" s="6"/>
      <c r="O81" s="6"/>
      <c r="P81" s="6"/>
    </row>
    <row r="82" spans="1:16" x14ac:dyDescent="0.2">
      <c r="A82" s="64"/>
      <c r="B82" s="108"/>
      <c r="C82" s="7"/>
      <c r="D82" s="11"/>
      <c r="E82" s="7"/>
      <c r="F82" s="7"/>
      <c r="G82" s="7"/>
      <c r="H82" s="2"/>
      <c r="I82" s="15"/>
      <c r="J82" s="8"/>
      <c r="K82" s="65"/>
      <c r="L82" s="38"/>
      <c r="M82" s="6"/>
      <c r="N82" s="6"/>
      <c r="O82" s="6"/>
      <c r="P82" s="6"/>
    </row>
    <row r="83" spans="1:16" x14ac:dyDescent="0.2">
      <c r="A83" s="64"/>
      <c r="B83" s="108"/>
      <c r="C83" s="7"/>
      <c r="D83" s="11"/>
      <c r="E83" s="7"/>
      <c r="F83" s="7"/>
      <c r="G83" s="7"/>
      <c r="H83" s="2"/>
      <c r="I83" s="15"/>
      <c r="J83" s="8"/>
      <c r="K83" s="65"/>
      <c r="L83" s="38"/>
      <c r="M83" s="6"/>
      <c r="N83" s="6"/>
      <c r="O83" s="6"/>
      <c r="P83" s="6"/>
    </row>
    <row r="84" spans="1:16" x14ac:dyDescent="0.2">
      <c r="A84" s="64"/>
      <c r="B84" s="108"/>
      <c r="C84" s="7"/>
      <c r="D84" s="11"/>
      <c r="E84" s="7"/>
      <c r="F84" s="7"/>
      <c r="G84" s="7"/>
      <c r="H84" s="2"/>
      <c r="I84" s="15"/>
      <c r="J84" s="8"/>
      <c r="K84" s="65"/>
      <c r="L84" s="38"/>
      <c r="M84" s="6"/>
      <c r="N84" s="6"/>
      <c r="O84" s="6"/>
      <c r="P84" s="6"/>
    </row>
    <row r="85" spans="1:16" x14ac:dyDescent="0.2">
      <c r="A85" s="64"/>
      <c r="B85" s="108"/>
      <c r="C85" s="7"/>
      <c r="D85" s="11"/>
      <c r="E85" s="7"/>
      <c r="F85" s="7"/>
      <c r="G85" s="7"/>
      <c r="H85" s="2"/>
      <c r="I85" s="15"/>
      <c r="J85" s="8"/>
      <c r="K85" s="65"/>
      <c r="L85" s="38"/>
      <c r="M85" s="6"/>
      <c r="N85" s="6"/>
      <c r="O85" s="6"/>
      <c r="P85" s="6"/>
    </row>
    <row r="86" spans="1:16" x14ac:dyDescent="0.2">
      <c r="A86" s="64"/>
      <c r="B86" s="108"/>
      <c r="C86" s="7"/>
      <c r="D86" s="11"/>
      <c r="E86" s="7"/>
      <c r="F86" s="7"/>
      <c r="G86" s="7"/>
      <c r="H86" s="2"/>
      <c r="I86" s="15"/>
      <c r="J86" s="8"/>
      <c r="K86" s="65"/>
      <c r="L86" s="38"/>
      <c r="M86" s="6"/>
      <c r="N86" s="6"/>
      <c r="O86" s="6"/>
      <c r="P86" s="6"/>
    </row>
    <row r="87" spans="1:16" x14ac:dyDescent="0.2">
      <c r="A87" s="64"/>
      <c r="B87" s="108"/>
      <c r="C87" s="7"/>
      <c r="D87" s="11"/>
      <c r="E87" s="7"/>
      <c r="F87" s="7"/>
      <c r="G87" s="7"/>
      <c r="H87" s="2"/>
      <c r="I87" s="15"/>
      <c r="J87" s="8"/>
      <c r="K87" s="65"/>
      <c r="L87" s="38"/>
      <c r="M87" s="6"/>
      <c r="N87" s="6"/>
      <c r="O87" s="6"/>
      <c r="P87" s="6"/>
    </row>
    <row r="88" spans="1:16" x14ac:dyDescent="0.2">
      <c r="A88" s="64"/>
      <c r="B88" s="108"/>
      <c r="C88" s="7"/>
      <c r="D88" s="11"/>
      <c r="E88" s="7"/>
      <c r="F88" s="7"/>
      <c r="G88" s="7"/>
      <c r="H88" s="2"/>
      <c r="I88" s="15"/>
      <c r="J88" s="8"/>
      <c r="K88" s="65"/>
      <c r="L88" s="38"/>
      <c r="M88" s="6"/>
      <c r="N88" s="6"/>
      <c r="O88" s="6"/>
      <c r="P88" s="6"/>
    </row>
    <row r="89" spans="1:16" x14ac:dyDescent="0.2">
      <c r="A89" s="64"/>
      <c r="B89" s="108"/>
      <c r="C89" s="7"/>
      <c r="D89" s="11"/>
      <c r="E89" s="7"/>
      <c r="F89" s="7"/>
      <c r="G89" s="7"/>
      <c r="H89" s="2"/>
      <c r="I89" s="15"/>
      <c r="J89" s="8"/>
      <c r="K89" s="65"/>
      <c r="L89" s="38"/>
      <c r="M89" s="6"/>
      <c r="N89" s="6"/>
      <c r="O89" s="6"/>
      <c r="P89" s="6"/>
    </row>
    <row r="90" spans="1:16" x14ac:dyDescent="0.2">
      <c r="A90" s="64"/>
      <c r="B90" s="108"/>
      <c r="C90" s="7"/>
      <c r="D90" s="11"/>
      <c r="E90" s="7"/>
      <c r="F90" s="7"/>
      <c r="G90" s="7"/>
      <c r="H90" s="2"/>
      <c r="I90" s="15"/>
      <c r="J90" s="8"/>
      <c r="K90" s="65"/>
      <c r="L90" s="38"/>
      <c r="M90" s="6"/>
      <c r="N90" s="6"/>
      <c r="O90" s="6"/>
      <c r="P90" s="6"/>
    </row>
    <row r="91" spans="1:16" x14ac:dyDescent="0.2">
      <c r="A91" s="64"/>
      <c r="B91" s="108"/>
      <c r="C91" s="7"/>
      <c r="D91" s="11"/>
      <c r="E91" s="7"/>
      <c r="F91" s="7"/>
      <c r="G91" s="7"/>
      <c r="H91" s="2"/>
      <c r="I91" s="15"/>
      <c r="J91" s="8"/>
      <c r="K91" s="65"/>
      <c r="L91" s="38"/>
      <c r="M91" s="6"/>
      <c r="N91" s="6"/>
      <c r="O91" s="6"/>
      <c r="P91" s="6"/>
    </row>
    <row r="92" spans="1:16" x14ac:dyDescent="0.2">
      <c r="A92" s="64"/>
      <c r="B92" s="108"/>
      <c r="C92" s="7"/>
      <c r="D92" s="11"/>
      <c r="E92" s="7"/>
      <c r="F92" s="7"/>
      <c r="G92" s="7"/>
      <c r="H92" s="2"/>
      <c r="I92" s="15"/>
      <c r="J92" s="8"/>
      <c r="K92" s="65"/>
      <c r="L92" s="38"/>
      <c r="M92" s="6"/>
      <c r="N92" s="6"/>
      <c r="O92" s="6"/>
      <c r="P92" s="6"/>
    </row>
    <row r="93" spans="1:16" x14ac:dyDescent="0.2">
      <c r="A93" s="64"/>
      <c r="B93" s="108"/>
      <c r="C93" s="7"/>
      <c r="D93" s="11"/>
      <c r="E93" s="7"/>
      <c r="F93" s="7"/>
      <c r="G93" s="7"/>
      <c r="H93" s="2"/>
      <c r="I93" s="15"/>
      <c r="J93" s="8"/>
      <c r="K93" s="65"/>
      <c r="L93" s="38"/>
      <c r="M93" s="6"/>
      <c r="N93" s="6"/>
      <c r="O93" s="6"/>
      <c r="P93" s="6"/>
    </row>
    <row r="94" spans="1:16" x14ac:dyDescent="0.2">
      <c r="A94" s="64"/>
      <c r="B94" s="108"/>
      <c r="C94" s="7"/>
      <c r="D94" s="11"/>
      <c r="E94" s="7"/>
      <c r="F94" s="7"/>
      <c r="G94" s="7"/>
      <c r="H94" s="2"/>
      <c r="I94" s="15"/>
      <c r="J94" s="8"/>
      <c r="K94" s="65"/>
      <c r="L94" s="38"/>
      <c r="M94" s="6"/>
      <c r="N94" s="6"/>
      <c r="O94" s="6"/>
      <c r="P94" s="6"/>
    </row>
    <row r="95" spans="1:16" x14ac:dyDescent="0.2">
      <c r="A95" s="64"/>
      <c r="B95" s="108"/>
      <c r="C95" s="7"/>
      <c r="D95" s="11"/>
      <c r="E95" s="7"/>
      <c r="F95" s="7"/>
      <c r="G95" s="7"/>
      <c r="H95" s="2"/>
      <c r="I95" s="15"/>
      <c r="J95" s="8"/>
      <c r="K95" s="65"/>
      <c r="L95" s="38"/>
      <c r="M95" s="6"/>
      <c r="N95" s="6"/>
      <c r="O95" s="6"/>
      <c r="P95" s="6"/>
    </row>
    <row r="96" spans="1:16" x14ac:dyDescent="0.2">
      <c r="A96" s="64"/>
      <c r="B96" s="108"/>
      <c r="C96" s="7"/>
      <c r="D96" s="11"/>
      <c r="E96" s="7"/>
      <c r="F96" s="7"/>
      <c r="G96" s="7"/>
      <c r="H96" s="2"/>
      <c r="I96" s="15"/>
      <c r="J96" s="8"/>
      <c r="K96" s="65"/>
      <c r="L96" s="38"/>
      <c r="M96" s="6"/>
      <c r="N96" s="6"/>
      <c r="O96" s="6"/>
      <c r="P96" s="6"/>
    </row>
    <row r="97" spans="1:16" x14ac:dyDescent="0.2">
      <c r="A97" s="64"/>
      <c r="B97" s="108"/>
      <c r="C97" s="7"/>
      <c r="D97" s="11"/>
      <c r="E97" s="7"/>
      <c r="F97" s="7"/>
      <c r="G97" s="7"/>
      <c r="H97" s="3"/>
      <c r="I97" s="15"/>
      <c r="J97" s="8"/>
      <c r="K97" s="65"/>
      <c r="L97" s="38"/>
      <c r="M97" s="6"/>
      <c r="N97" s="6"/>
      <c r="O97" s="6"/>
      <c r="P97" s="6"/>
    </row>
    <row r="98" spans="1:16" x14ac:dyDescent="0.2">
      <c r="A98" s="64"/>
      <c r="B98" s="108"/>
      <c r="C98" s="7"/>
      <c r="D98" s="11"/>
      <c r="E98" s="7"/>
      <c r="F98" s="7"/>
      <c r="G98" s="7"/>
      <c r="H98" s="9"/>
      <c r="I98" s="15"/>
      <c r="J98" s="8"/>
      <c r="K98" s="65"/>
      <c r="L98" s="38"/>
      <c r="M98" s="6"/>
      <c r="N98" s="6"/>
      <c r="O98" s="6"/>
      <c r="P98" s="6"/>
    </row>
    <row r="99" spans="1:16" x14ac:dyDescent="0.2">
      <c r="A99" s="64"/>
      <c r="B99" s="108"/>
      <c r="C99" s="7"/>
      <c r="D99" s="11"/>
      <c r="E99" s="7"/>
      <c r="F99" s="7"/>
      <c r="G99" s="7"/>
      <c r="H99" s="9"/>
      <c r="I99" s="15"/>
      <c r="J99" s="8"/>
      <c r="K99" s="65"/>
      <c r="L99" s="38"/>
      <c r="M99" s="6"/>
      <c r="N99" s="6"/>
      <c r="O99" s="6"/>
      <c r="P99" s="6"/>
    </row>
    <row r="100" spans="1:16" x14ac:dyDescent="0.2">
      <c r="A100" s="64"/>
      <c r="B100" s="108"/>
      <c r="C100" s="7"/>
      <c r="D100" s="11"/>
      <c r="E100" s="7"/>
      <c r="F100" s="7"/>
      <c r="G100" s="7"/>
      <c r="H100" s="9"/>
      <c r="I100" s="15"/>
      <c r="J100" s="8"/>
      <c r="K100" s="65"/>
      <c r="L100" s="38"/>
      <c r="M100" s="6"/>
      <c r="N100" s="6"/>
      <c r="O100" s="6"/>
      <c r="P100" s="6"/>
    </row>
    <row r="101" spans="1:16" x14ac:dyDescent="0.2">
      <c r="A101" s="64"/>
      <c r="B101" s="108"/>
      <c r="C101" s="7"/>
      <c r="D101" s="11"/>
      <c r="E101" s="7"/>
      <c r="F101" s="7"/>
      <c r="G101" s="7"/>
      <c r="H101" s="9"/>
      <c r="I101" s="15"/>
      <c r="J101" s="8"/>
      <c r="K101" s="65"/>
      <c r="L101" s="38"/>
      <c r="M101" s="6"/>
      <c r="N101" s="6"/>
      <c r="O101" s="6"/>
      <c r="P101" s="6"/>
    </row>
    <row r="102" spans="1:16" x14ac:dyDescent="0.2">
      <c r="A102" s="64"/>
      <c r="B102" s="108"/>
      <c r="C102" s="7"/>
      <c r="D102" s="11"/>
      <c r="E102" s="7"/>
      <c r="F102" s="7"/>
      <c r="G102" s="7"/>
      <c r="H102" s="9"/>
      <c r="I102" s="16"/>
      <c r="J102" s="10"/>
      <c r="K102" s="65"/>
      <c r="L102" s="38"/>
      <c r="M102" s="6"/>
      <c r="N102" s="6"/>
      <c r="O102" s="6"/>
      <c r="P102" s="6"/>
    </row>
    <row r="103" spans="1:16" x14ac:dyDescent="0.2">
      <c r="A103" s="64"/>
      <c r="B103" s="108"/>
      <c r="C103" s="7"/>
      <c r="D103" s="11"/>
      <c r="E103" s="7"/>
      <c r="F103" s="7"/>
      <c r="G103" s="7"/>
      <c r="H103" s="9"/>
      <c r="I103" s="15"/>
      <c r="J103" s="8"/>
      <c r="K103" s="65"/>
      <c r="L103" s="38"/>
      <c r="M103" s="6"/>
      <c r="N103" s="6"/>
      <c r="O103" s="6"/>
      <c r="P103" s="6"/>
    </row>
    <row r="104" spans="1:16" x14ac:dyDescent="0.2">
      <c r="A104" s="64"/>
      <c r="B104" s="108"/>
      <c r="C104" s="2"/>
      <c r="D104" s="11"/>
      <c r="E104" s="2"/>
      <c r="F104" s="2"/>
      <c r="G104" s="2"/>
      <c r="H104" s="2"/>
      <c r="I104" s="4"/>
      <c r="J104" s="5"/>
      <c r="K104" s="65"/>
      <c r="L104" s="38"/>
      <c r="M104" s="6"/>
      <c r="N104" s="6"/>
      <c r="O104" s="6"/>
      <c r="P104" s="6"/>
    </row>
    <row r="105" spans="1:16" x14ac:dyDescent="0.2">
      <c r="A105" s="64"/>
      <c r="B105" s="108"/>
      <c r="C105" s="2"/>
      <c r="D105" s="11"/>
      <c r="E105" s="2"/>
      <c r="F105" s="2"/>
      <c r="G105" s="2"/>
      <c r="H105" s="2"/>
      <c r="I105" s="4"/>
      <c r="J105" s="5"/>
      <c r="K105" s="65"/>
      <c r="L105" s="38"/>
      <c r="M105" s="6"/>
      <c r="N105" s="6"/>
      <c r="O105" s="6"/>
      <c r="P105" s="6"/>
    </row>
    <row r="106" spans="1:16" x14ac:dyDescent="0.2">
      <c r="A106" s="64"/>
      <c r="B106" s="108"/>
      <c r="C106" s="2"/>
      <c r="D106" s="11"/>
      <c r="E106" s="2"/>
      <c r="F106" s="2"/>
      <c r="G106" s="2"/>
      <c r="H106" s="2"/>
      <c r="I106" s="4"/>
      <c r="J106" s="5"/>
      <c r="K106" s="65"/>
      <c r="L106" s="38"/>
      <c r="M106" s="6"/>
      <c r="N106" s="6"/>
      <c r="O106" s="6"/>
      <c r="P106" s="6"/>
    </row>
    <row r="107" spans="1:16" x14ac:dyDescent="0.2">
      <c r="A107" s="64"/>
      <c r="B107" s="108"/>
      <c r="C107" s="2"/>
      <c r="D107" s="11"/>
      <c r="E107" s="2"/>
      <c r="F107" s="2"/>
      <c r="G107" s="2"/>
      <c r="H107" s="2"/>
      <c r="I107" s="4"/>
      <c r="J107" s="5"/>
      <c r="K107" s="65"/>
      <c r="L107" s="38"/>
      <c r="M107" s="6"/>
      <c r="N107" s="6"/>
      <c r="O107" s="6"/>
      <c r="P107" s="6"/>
    </row>
    <row r="108" spans="1:16" x14ac:dyDescent="0.2">
      <c r="A108" s="64"/>
      <c r="B108" s="108"/>
      <c r="C108" s="2"/>
      <c r="D108" s="11"/>
      <c r="E108" s="2"/>
      <c r="F108" s="2"/>
      <c r="G108" s="2"/>
      <c r="H108" s="2"/>
      <c r="I108" s="4"/>
      <c r="J108" s="5"/>
      <c r="K108" s="65"/>
      <c r="L108" s="38"/>
      <c r="M108" s="6"/>
      <c r="N108" s="6"/>
      <c r="O108" s="6"/>
      <c r="P108" s="6"/>
    </row>
    <row r="109" spans="1:16" x14ac:dyDescent="0.2">
      <c r="A109" s="64"/>
      <c r="B109" s="108"/>
      <c r="C109" s="2"/>
      <c r="D109" s="11"/>
      <c r="E109" s="2"/>
      <c r="F109" s="2"/>
      <c r="G109" s="2"/>
      <c r="H109" s="2"/>
      <c r="I109" s="4"/>
      <c r="J109" s="5"/>
      <c r="K109" s="65"/>
      <c r="L109" s="38"/>
      <c r="M109" s="6"/>
      <c r="N109" s="6"/>
      <c r="O109" s="6"/>
      <c r="P109" s="6"/>
    </row>
    <row r="110" spans="1:16" x14ac:dyDescent="0.2">
      <c r="A110" s="64"/>
      <c r="B110" s="108"/>
      <c r="C110" s="2"/>
      <c r="D110" s="11"/>
      <c r="E110" s="2"/>
      <c r="F110" s="2"/>
      <c r="G110" s="2"/>
      <c r="H110" s="2"/>
      <c r="I110" s="4"/>
      <c r="J110" s="5"/>
      <c r="K110" s="65"/>
      <c r="L110" s="38"/>
      <c r="M110" s="6"/>
      <c r="N110" s="6"/>
      <c r="O110" s="6"/>
      <c r="P110" s="6"/>
    </row>
    <row r="111" spans="1:16" x14ac:dyDescent="0.2">
      <c r="A111" s="64"/>
      <c r="B111" s="108"/>
      <c r="C111" s="2"/>
      <c r="D111" s="11"/>
      <c r="E111" s="2"/>
      <c r="F111" s="2"/>
      <c r="G111" s="2"/>
      <c r="H111" s="2"/>
      <c r="I111" s="4"/>
      <c r="J111" s="5"/>
      <c r="K111" s="65"/>
      <c r="L111" s="38"/>
      <c r="M111" s="6"/>
      <c r="N111" s="6"/>
      <c r="O111" s="6"/>
      <c r="P111" s="6"/>
    </row>
    <row r="112" spans="1:16" x14ac:dyDescent="0.2">
      <c r="A112" s="64"/>
      <c r="B112" s="108"/>
      <c r="C112" s="2"/>
      <c r="D112" s="11"/>
      <c r="E112" s="2"/>
      <c r="F112" s="2"/>
      <c r="G112" s="2"/>
      <c r="H112" s="2"/>
      <c r="I112" s="4"/>
      <c r="J112" s="5"/>
      <c r="K112" s="65"/>
      <c r="L112" s="38"/>
      <c r="M112" s="6"/>
      <c r="N112" s="6"/>
      <c r="O112" s="6"/>
      <c r="P112" s="6"/>
    </row>
    <row r="113" spans="1:16" x14ac:dyDescent="0.2">
      <c r="A113" s="64"/>
      <c r="B113" s="108"/>
      <c r="C113" s="2"/>
      <c r="D113" s="11"/>
      <c r="E113" s="2"/>
      <c r="F113" s="2"/>
      <c r="G113" s="2"/>
      <c r="H113" s="2"/>
      <c r="I113" s="4"/>
      <c r="J113" s="5"/>
      <c r="K113" s="65"/>
      <c r="L113" s="38"/>
      <c r="M113" s="6"/>
      <c r="N113" s="6"/>
      <c r="O113" s="6"/>
      <c r="P113" s="6"/>
    </row>
    <row r="114" spans="1:16" x14ac:dyDescent="0.2">
      <c r="A114" s="64"/>
      <c r="B114" s="108"/>
      <c r="C114" s="2"/>
      <c r="D114" s="11"/>
      <c r="E114" s="2"/>
      <c r="F114" s="2"/>
      <c r="G114" s="2"/>
      <c r="H114" s="2"/>
      <c r="I114" s="4"/>
      <c r="J114" s="5"/>
      <c r="K114" s="65"/>
      <c r="L114" s="38"/>
      <c r="M114" s="6"/>
      <c r="N114" s="6"/>
      <c r="O114" s="6"/>
      <c r="P114" s="6"/>
    </row>
    <row r="115" spans="1:16" x14ac:dyDescent="0.2">
      <c r="A115" s="64"/>
      <c r="B115" s="108"/>
      <c r="C115" s="2"/>
      <c r="D115" s="11"/>
      <c r="E115" s="2"/>
      <c r="F115" s="2"/>
      <c r="G115" s="2"/>
      <c r="H115" s="2"/>
      <c r="I115" s="4"/>
      <c r="J115" s="5"/>
      <c r="K115" s="65"/>
      <c r="L115" s="38"/>
      <c r="M115" s="6"/>
      <c r="N115" s="6"/>
      <c r="O115" s="6"/>
      <c r="P115" s="6"/>
    </row>
    <row r="116" spans="1:16" x14ac:dyDescent="0.2">
      <c r="A116" s="64"/>
      <c r="B116" s="108"/>
      <c r="C116" s="2"/>
      <c r="D116" s="11"/>
      <c r="E116" s="2"/>
      <c r="F116" s="2"/>
      <c r="G116" s="2"/>
      <c r="H116" s="2"/>
      <c r="I116" s="4"/>
      <c r="J116" s="5"/>
      <c r="K116" s="65"/>
      <c r="L116" s="38"/>
      <c r="M116" s="6"/>
      <c r="N116" s="6"/>
      <c r="O116" s="6"/>
      <c r="P116" s="6"/>
    </row>
    <row r="117" spans="1:16" x14ac:dyDescent="0.2">
      <c r="A117" s="64"/>
      <c r="B117" s="108"/>
      <c r="C117" s="2"/>
      <c r="D117" s="11"/>
      <c r="E117" s="2"/>
      <c r="F117" s="2"/>
      <c r="G117" s="2"/>
      <c r="H117" s="2"/>
      <c r="I117" s="4"/>
      <c r="J117" s="5"/>
      <c r="K117" s="65"/>
      <c r="L117" s="38"/>
      <c r="M117" s="6"/>
      <c r="N117" s="6"/>
      <c r="O117" s="6"/>
      <c r="P117" s="6"/>
    </row>
    <row r="118" spans="1:16" x14ac:dyDescent="0.2">
      <c r="A118" s="64"/>
      <c r="B118" s="108"/>
      <c r="C118" s="2"/>
      <c r="D118" s="11"/>
      <c r="E118" s="2"/>
      <c r="F118" s="2"/>
      <c r="G118" s="2"/>
      <c r="H118" s="2"/>
      <c r="I118" s="4"/>
      <c r="J118" s="5"/>
      <c r="K118" s="65"/>
      <c r="L118" s="38"/>
      <c r="M118" s="6"/>
      <c r="N118" s="6"/>
      <c r="O118" s="6"/>
      <c r="P118" s="6"/>
    </row>
    <row r="119" spans="1:16" x14ac:dyDescent="0.2">
      <c r="A119" s="64"/>
      <c r="B119" s="108"/>
      <c r="C119" s="2"/>
      <c r="D119" s="11"/>
      <c r="E119" s="2"/>
      <c r="F119" s="2"/>
      <c r="G119" s="2"/>
      <c r="H119" s="2"/>
      <c r="I119" s="4"/>
      <c r="J119" s="5"/>
      <c r="K119" s="65"/>
      <c r="L119" s="38"/>
      <c r="M119" s="6"/>
      <c r="N119" s="6"/>
      <c r="O119" s="6"/>
      <c r="P119" s="6"/>
    </row>
    <row r="120" spans="1:16" x14ac:dyDescent="0.2">
      <c r="A120" s="64"/>
      <c r="B120" s="108"/>
      <c r="C120" s="2"/>
      <c r="D120" s="11"/>
      <c r="E120" s="2"/>
      <c r="F120" s="2"/>
      <c r="G120" s="2"/>
      <c r="H120" s="2"/>
      <c r="I120" s="4"/>
      <c r="J120" s="5"/>
      <c r="K120" s="65"/>
      <c r="L120" s="38"/>
      <c r="M120" s="6"/>
      <c r="N120" s="6"/>
      <c r="O120" s="6"/>
      <c r="P120" s="6"/>
    </row>
    <row r="121" spans="1:16" x14ac:dyDescent="0.2">
      <c r="A121" s="64"/>
      <c r="B121" s="108"/>
      <c r="C121" s="2"/>
      <c r="D121" s="11"/>
      <c r="E121" s="2"/>
      <c r="F121" s="2"/>
      <c r="G121" s="2"/>
      <c r="H121" s="2"/>
      <c r="I121" s="4"/>
      <c r="J121" s="5"/>
      <c r="K121" s="65"/>
      <c r="L121" s="38"/>
      <c r="M121" s="6"/>
      <c r="N121" s="6"/>
      <c r="O121" s="6"/>
      <c r="P121" s="6"/>
    </row>
    <row r="122" spans="1:16" x14ac:dyDescent="0.2">
      <c r="A122" s="64"/>
      <c r="B122" s="108"/>
      <c r="C122" s="2"/>
      <c r="D122" s="11"/>
      <c r="E122" s="2"/>
      <c r="F122" s="2"/>
      <c r="G122" s="2"/>
      <c r="H122" s="2"/>
      <c r="I122" s="4"/>
      <c r="J122" s="5"/>
      <c r="K122" s="65"/>
      <c r="L122" s="38"/>
      <c r="M122" s="6"/>
      <c r="N122" s="6"/>
      <c r="O122" s="6"/>
      <c r="P122" s="6"/>
    </row>
    <row r="123" spans="1:16" x14ac:dyDescent="0.2">
      <c r="A123" s="64"/>
      <c r="B123" s="108"/>
      <c r="C123" s="2"/>
      <c r="D123" s="11"/>
      <c r="E123" s="2"/>
      <c r="F123" s="2"/>
      <c r="G123" s="2"/>
      <c r="H123" s="2"/>
      <c r="I123" s="4"/>
      <c r="J123" s="5"/>
      <c r="K123" s="65"/>
      <c r="L123" s="38"/>
      <c r="M123" s="6"/>
      <c r="N123" s="6"/>
      <c r="O123" s="6"/>
      <c r="P123" s="6"/>
    </row>
    <row r="124" spans="1:16" x14ac:dyDescent="0.2">
      <c r="A124" s="64"/>
      <c r="B124" s="108"/>
      <c r="C124" s="2"/>
      <c r="D124" s="11"/>
      <c r="E124" s="2"/>
      <c r="F124" s="2"/>
      <c r="G124" s="2"/>
      <c r="H124" s="2"/>
      <c r="I124" s="4"/>
      <c r="J124" s="5"/>
      <c r="K124" s="65"/>
      <c r="L124" s="38"/>
      <c r="M124" s="6"/>
      <c r="N124" s="6"/>
      <c r="O124" s="6"/>
      <c r="P124" s="6"/>
    </row>
    <row r="125" spans="1:16" x14ac:dyDescent="0.2">
      <c r="A125" s="64"/>
      <c r="B125" s="108"/>
      <c r="C125" s="2"/>
      <c r="D125" s="11"/>
      <c r="E125" s="2"/>
      <c r="F125" s="2"/>
      <c r="G125" s="2"/>
      <c r="H125" s="2"/>
      <c r="I125" s="4"/>
      <c r="J125" s="5"/>
      <c r="K125" s="65"/>
      <c r="L125" s="38"/>
      <c r="M125" s="6"/>
      <c r="N125" s="6"/>
      <c r="O125" s="6"/>
      <c r="P125" s="6"/>
    </row>
    <row r="126" spans="1:16" x14ac:dyDescent="0.2">
      <c r="A126" s="64"/>
      <c r="B126" s="108"/>
      <c r="C126" s="2"/>
      <c r="D126" s="11"/>
      <c r="E126" s="2"/>
      <c r="F126" s="2"/>
      <c r="G126" s="2"/>
      <c r="H126" s="2"/>
      <c r="I126" s="4"/>
      <c r="J126" s="5"/>
      <c r="K126" s="65"/>
      <c r="L126" s="38"/>
      <c r="M126" s="6"/>
      <c r="N126" s="6"/>
      <c r="O126" s="6"/>
      <c r="P126" s="6"/>
    </row>
    <row r="127" spans="1:16" x14ac:dyDescent="0.2">
      <c r="A127" s="64"/>
      <c r="B127" s="108"/>
      <c r="C127" s="2"/>
      <c r="D127" s="11"/>
      <c r="E127" s="2"/>
      <c r="F127" s="2"/>
      <c r="G127" s="2"/>
      <c r="H127" s="2"/>
      <c r="I127" s="4"/>
      <c r="J127" s="5"/>
      <c r="K127" s="65"/>
      <c r="L127" s="38"/>
      <c r="M127" s="6"/>
      <c r="N127" s="6"/>
      <c r="O127" s="6"/>
      <c r="P127" s="6"/>
    </row>
    <row r="128" spans="1:16" x14ac:dyDescent="0.2">
      <c r="A128" s="64"/>
      <c r="B128" s="108"/>
      <c r="C128" s="2"/>
      <c r="D128" s="11"/>
      <c r="E128" s="2"/>
      <c r="F128" s="2"/>
      <c r="G128" s="2"/>
      <c r="H128" s="2"/>
      <c r="I128" s="4"/>
      <c r="J128" s="5"/>
      <c r="K128" s="65"/>
      <c r="L128" s="38"/>
      <c r="M128" s="6"/>
      <c r="N128" s="6"/>
      <c r="O128" s="6"/>
      <c r="P128" s="6"/>
    </row>
    <row r="129" spans="1:16" x14ac:dyDescent="0.2">
      <c r="A129" s="64"/>
      <c r="B129" s="108"/>
      <c r="C129" s="2"/>
      <c r="D129" s="11"/>
      <c r="E129" s="2"/>
      <c r="F129" s="2"/>
      <c r="G129" s="2"/>
      <c r="H129" s="2"/>
      <c r="I129" s="4"/>
      <c r="J129" s="5"/>
      <c r="K129" s="65"/>
      <c r="L129" s="38"/>
      <c r="M129" s="6"/>
      <c r="N129" s="6"/>
      <c r="O129" s="6"/>
      <c r="P129" s="6"/>
    </row>
    <row r="130" spans="1:16" x14ac:dyDescent="0.2">
      <c r="A130" s="64"/>
      <c r="B130" s="108"/>
      <c r="C130" s="2"/>
      <c r="D130" s="11"/>
      <c r="E130" s="2"/>
      <c r="F130" s="2"/>
      <c r="G130" s="2"/>
      <c r="H130" s="2"/>
      <c r="I130" s="4"/>
      <c r="J130" s="5"/>
      <c r="K130" s="65"/>
      <c r="L130" s="38"/>
      <c r="M130" s="6"/>
      <c r="N130" s="6"/>
      <c r="O130" s="6"/>
      <c r="P130" s="6"/>
    </row>
    <row r="131" spans="1:16" x14ac:dyDescent="0.2">
      <c r="A131" s="64"/>
      <c r="B131" s="108"/>
      <c r="C131" s="2"/>
      <c r="D131" s="11"/>
      <c r="E131" s="2"/>
      <c r="F131" s="2"/>
      <c r="G131" s="2"/>
      <c r="H131" s="2"/>
      <c r="I131" s="4"/>
      <c r="J131" s="5"/>
      <c r="K131" s="65"/>
      <c r="L131" s="38"/>
      <c r="M131" s="6"/>
      <c r="N131" s="6"/>
      <c r="O131" s="6"/>
      <c r="P131" s="6"/>
    </row>
    <row r="132" spans="1:16" x14ac:dyDescent="0.2">
      <c r="A132" s="64"/>
      <c r="B132" s="108"/>
      <c r="C132" s="2"/>
      <c r="D132" s="11"/>
      <c r="E132" s="2"/>
      <c r="F132" s="2"/>
      <c r="G132" s="2"/>
      <c r="H132" s="2"/>
      <c r="I132" s="4"/>
      <c r="J132" s="5"/>
      <c r="K132" s="65"/>
      <c r="L132" s="38"/>
      <c r="M132" s="6"/>
      <c r="N132" s="6"/>
      <c r="O132" s="6"/>
      <c r="P132" s="6"/>
    </row>
    <row r="133" spans="1:16" x14ac:dyDescent="0.2">
      <c r="A133" s="64"/>
      <c r="B133" s="108"/>
      <c r="C133" s="2"/>
      <c r="D133" s="11"/>
      <c r="E133" s="2"/>
      <c r="F133" s="2"/>
      <c r="G133" s="2"/>
      <c r="H133" s="2"/>
      <c r="I133" s="4"/>
      <c r="J133" s="5"/>
      <c r="K133" s="65"/>
      <c r="L133" s="38"/>
      <c r="M133" s="6"/>
      <c r="N133" s="6"/>
      <c r="O133" s="6"/>
      <c r="P133" s="6"/>
    </row>
    <row r="134" spans="1:16" x14ac:dyDescent="0.2">
      <c r="A134" s="64"/>
      <c r="B134" s="108"/>
      <c r="C134" s="2"/>
      <c r="D134" s="11"/>
      <c r="E134" s="2"/>
      <c r="F134" s="2"/>
      <c r="G134" s="2"/>
      <c r="H134" s="2"/>
      <c r="I134" s="4"/>
      <c r="J134" s="5"/>
      <c r="K134" s="65"/>
      <c r="L134" s="38"/>
      <c r="M134" s="6"/>
      <c r="N134" s="6"/>
      <c r="O134" s="6"/>
      <c r="P134" s="6"/>
    </row>
    <row r="135" spans="1:16" x14ac:dyDescent="0.2">
      <c r="A135" s="64"/>
      <c r="B135" s="108"/>
      <c r="C135" s="2"/>
      <c r="D135" s="11"/>
      <c r="E135" s="2"/>
      <c r="F135" s="2"/>
      <c r="G135" s="2"/>
      <c r="H135" s="2"/>
      <c r="I135" s="4"/>
      <c r="J135" s="5"/>
      <c r="K135" s="65"/>
      <c r="L135" s="38"/>
      <c r="M135" s="6"/>
      <c r="N135" s="6"/>
      <c r="O135" s="6"/>
      <c r="P135" s="6"/>
    </row>
    <row r="136" spans="1:16" x14ac:dyDescent="0.2">
      <c r="A136" s="64"/>
      <c r="B136" s="108"/>
      <c r="C136" s="2"/>
      <c r="D136" s="11"/>
      <c r="E136" s="2"/>
      <c r="F136" s="2"/>
      <c r="G136" s="2"/>
      <c r="H136" s="2"/>
      <c r="I136" s="4"/>
      <c r="J136" s="5"/>
      <c r="K136" s="65"/>
      <c r="L136" s="38"/>
      <c r="M136" s="6"/>
      <c r="N136" s="6"/>
      <c r="O136" s="6"/>
      <c r="P136" s="6"/>
    </row>
    <row r="137" spans="1:16" x14ac:dyDescent="0.2">
      <c r="A137" s="64"/>
      <c r="B137" s="108"/>
      <c r="C137" s="2"/>
      <c r="D137" s="11"/>
      <c r="E137" s="2"/>
      <c r="F137" s="2"/>
      <c r="G137" s="2"/>
      <c r="H137" s="2"/>
      <c r="I137" s="4"/>
      <c r="J137" s="5"/>
      <c r="K137" s="65"/>
      <c r="L137" s="38"/>
      <c r="M137" s="6"/>
      <c r="N137" s="6"/>
      <c r="O137" s="6"/>
      <c r="P137" s="6"/>
    </row>
    <row r="138" spans="1:16" x14ac:dyDescent="0.2">
      <c r="A138" s="64"/>
      <c r="B138" s="108"/>
      <c r="C138" s="2"/>
      <c r="D138" s="11"/>
      <c r="E138" s="2"/>
      <c r="F138" s="2"/>
      <c r="G138" s="2"/>
      <c r="H138" s="2"/>
      <c r="I138" s="4"/>
      <c r="J138" s="5"/>
      <c r="K138" s="65"/>
      <c r="L138" s="38"/>
      <c r="M138" s="6"/>
      <c r="N138" s="6"/>
      <c r="O138" s="6"/>
      <c r="P138" s="6"/>
    </row>
    <row r="139" spans="1:16" x14ac:dyDescent="0.2">
      <c r="A139" s="64"/>
      <c r="B139" s="108"/>
      <c r="C139" s="2"/>
      <c r="D139" s="11"/>
      <c r="E139" s="2"/>
      <c r="F139" s="2"/>
      <c r="G139" s="2"/>
      <c r="H139" s="2"/>
      <c r="I139" s="4"/>
      <c r="J139" s="5"/>
      <c r="K139" s="65"/>
      <c r="L139" s="38"/>
      <c r="M139" s="6"/>
      <c r="N139" s="6"/>
      <c r="O139" s="6"/>
      <c r="P139" s="6"/>
    </row>
    <row r="140" spans="1:16" x14ac:dyDescent="0.2">
      <c r="A140" s="64"/>
      <c r="B140" s="108"/>
      <c r="C140" s="1"/>
      <c r="D140" s="11"/>
      <c r="E140" s="1"/>
      <c r="F140" s="1"/>
      <c r="G140" s="1"/>
      <c r="H140" s="2"/>
      <c r="I140" s="4"/>
      <c r="J140" s="5"/>
      <c r="K140" s="65"/>
      <c r="L140" s="38"/>
      <c r="M140" s="6"/>
      <c r="N140" s="6"/>
      <c r="O140" s="6"/>
      <c r="P140" s="6"/>
    </row>
    <row r="141" spans="1:16" x14ac:dyDescent="0.2">
      <c r="A141" s="64"/>
      <c r="B141" s="108"/>
      <c r="C141" s="1"/>
      <c r="D141" s="11"/>
      <c r="E141" s="1"/>
      <c r="F141" s="1"/>
      <c r="G141" s="1"/>
      <c r="H141" s="2"/>
      <c r="I141" s="4"/>
      <c r="J141" s="5"/>
      <c r="K141" s="65"/>
      <c r="L141" s="38"/>
      <c r="M141" s="6"/>
      <c r="N141" s="6"/>
      <c r="O141" s="6"/>
      <c r="P141" s="6"/>
    </row>
    <row r="142" spans="1:16" ht="12.75" customHeight="1" x14ac:dyDescent="0.2">
      <c r="A142" s="64"/>
      <c r="B142" s="108"/>
      <c r="C142" s="11"/>
      <c r="D142" s="11"/>
      <c r="E142" s="1"/>
      <c r="F142" s="1"/>
      <c r="G142" s="1"/>
      <c r="H142" s="2"/>
      <c r="I142" s="4"/>
      <c r="J142" s="2"/>
      <c r="K142" s="65"/>
      <c r="L142" s="38"/>
      <c r="M142" s="6"/>
      <c r="N142" s="6"/>
      <c r="O142" s="6"/>
      <c r="P142" s="6"/>
    </row>
    <row r="143" spans="1:16" ht="12.75" customHeight="1" x14ac:dyDescent="0.2">
      <c r="A143" s="64"/>
      <c r="B143" s="108"/>
      <c r="C143" s="11"/>
      <c r="D143" s="11"/>
      <c r="E143" s="1"/>
      <c r="F143" s="1"/>
      <c r="G143" s="1"/>
      <c r="H143" s="2"/>
      <c r="I143" s="4"/>
      <c r="J143" s="2"/>
      <c r="K143" s="65"/>
      <c r="L143" s="38"/>
      <c r="M143" s="6"/>
      <c r="N143" s="6"/>
      <c r="O143" s="6"/>
      <c r="P143" s="6"/>
    </row>
    <row r="144" spans="1:16" ht="12.75" customHeight="1" x14ac:dyDescent="0.2">
      <c r="A144" s="64"/>
      <c r="B144" s="108"/>
      <c r="C144" s="11"/>
      <c r="D144" s="11"/>
      <c r="E144" s="1"/>
      <c r="F144" s="1"/>
      <c r="G144" s="1"/>
      <c r="H144" s="2"/>
      <c r="I144" s="4"/>
      <c r="J144" s="2"/>
      <c r="K144" s="65"/>
      <c r="L144" s="38"/>
      <c r="M144" s="6"/>
      <c r="N144" s="6"/>
      <c r="O144" s="6"/>
      <c r="P144" s="6"/>
    </row>
    <row r="145" spans="1:16" ht="12.75" customHeight="1" x14ac:dyDescent="0.2">
      <c r="A145" s="64"/>
      <c r="B145" s="108"/>
      <c r="C145" s="11"/>
      <c r="D145" s="11"/>
      <c r="E145" s="1"/>
      <c r="F145" s="1"/>
      <c r="G145" s="1"/>
      <c r="H145" s="2"/>
      <c r="I145" s="4"/>
      <c r="J145" s="2"/>
      <c r="K145" s="65"/>
      <c r="L145" s="38"/>
      <c r="M145" s="6"/>
      <c r="N145" s="6"/>
      <c r="O145" s="6"/>
      <c r="P145" s="6"/>
    </row>
    <row r="146" spans="1:16" ht="12.75" customHeight="1" x14ac:dyDescent="0.2">
      <c r="A146" s="64"/>
      <c r="B146" s="108"/>
      <c r="C146" s="11"/>
      <c r="D146" s="11"/>
      <c r="E146" s="1"/>
      <c r="F146" s="1"/>
      <c r="G146" s="1"/>
      <c r="H146" s="2"/>
      <c r="I146" s="4"/>
      <c r="J146" s="2"/>
      <c r="K146" s="65"/>
      <c r="L146" s="38"/>
      <c r="M146" s="6"/>
      <c r="N146" s="6"/>
      <c r="O146" s="6"/>
      <c r="P146" s="6"/>
    </row>
    <row r="147" spans="1:16" ht="12.75" customHeight="1" x14ac:dyDescent="0.2">
      <c r="A147" s="64"/>
      <c r="B147" s="108"/>
      <c r="C147" s="11"/>
      <c r="D147" s="11"/>
      <c r="E147" s="1"/>
      <c r="F147" s="1"/>
      <c r="G147" s="1"/>
      <c r="H147" s="2"/>
      <c r="I147" s="4"/>
      <c r="J147" s="2"/>
      <c r="K147" s="65"/>
      <c r="L147" s="38"/>
      <c r="M147" s="6"/>
      <c r="N147" s="6"/>
      <c r="O147" s="6"/>
      <c r="P147" s="6"/>
    </row>
    <row r="148" spans="1:16" ht="12.75" customHeight="1" x14ac:dyDescent="0.2">
      <c r="A148" s="64"/>
      <c r="B148" s="108"/>
      <c r="C148" s="11"/>
      <c r="D148" s="11"/>
      <c r="E148" s="1"/>
      <c r="F148" s="1"/>
      <c r="G148" s="1"/>
      <c r="H148" s="2"/>
      <c r="I148" s="4"/>
      <c r="J148" s="2"/>
      <c r="K148" s="65"/>
      <c r="L148" s="38"/>
      <c r="M148" s="6"/>
      <c r="N148" s="6"/>
      <c r="O148" s="6"/>
      <c r="P148" s="6"/>
    </row>
    <row r="149" spans="1:16" x14ac:dyDescent="0.2">
      <c r="A149" s="64"/>
      <c r="B149" s="108"/>
      <c r="C149" s="1"/>
      <c r="D149" s="11"/>
      <c r="E149" s="1"/>
      <c r="F149" s="1"/>
      <c r="G149" s="1"/>
      <c r="H149" s="9"/>
      <c r="I149" s="14"/>
      <c r="J149" s="12"/>
      <c r="K149" s="66"/>
      <c r="L149" s="49"/>
      <c r="M149" s="56"/>
      <c r="N149" s="56"/>
      <c r="O149" s="56"/>
      <c r="P149" s="56"/>
    </row>
    <row r="150" spans="1:16" x14ac:dyDescent="0.2">
      <c r="A150" s="64"/>
      <c r="B150" s="108"/>
      <c r="C150" s="1"/>
      <c r="D150" s="11"/>
      <c r="E150" s="1"/>
      <c r="F150" s="1"/>
      <c r="G150" s="1"/>
      <c r="H150" s="9"/>
      <c r="I150" s="14"/>
      <c r="J150" s="12"/>
      <c r="K150" s="66"/>
      <c r="L150" s="49"/>
      <c r="M150" s="56"/>
      <c r="N150" s="56"/>
      <c r="O150" s="56"/>
      <c r="P150" s="56"/>
    </row>
    <row r="151" spans="1:16" x14ac:dyDescent="0.2">
      <c r="A151" s="64"/>
      <c r="B151" s="108"/>
      <c r="C151" s="1"/>
      <c r="D151" s="11"/>
      <c r="E151" s="1"/>
      <c r="F151" s="1"/>
      <c r="G151" s="1"/>
      <c r="H151" s="9"/>
      <c r="I151" s="14"/>
      <c r="J151" s="12"/>
      <c r="K151" s="66"/>
      <c r="L151" s="49"/>
      <c r="M151" s="56"/>
      <c r="N151" s="56"/>
      <c r="O151" s="56"/>
      <c r="P151" s="56"/>
    </row>
    <row r="152" spans="1:16" x14ac:dyDescent="0.2">
      <c r="A152" s="64"/>
      <c r="B152" s="108"/>
      <c r="C152" s="1"/>
      <c r="D152" s="11"/>
      <c r="E152" s="1"/>
      <c r="F152" s="1"/>
      <c r="G152" s="1"/>
      <c r="H152" s="9"/>
      <c r="I152" s="14"/>
      <c r="J152" s="12"/>
      <c r="K152" s="66"/>
      <c r="L152" s="49"/>
      <c r="M152" s="56"/>
      <c r="N152" s="56"/>
      <c r="O152" s="56"/>
      <c r="P152" s="56"/>
    </row>
    <row r="153" spans="1:16" x14ac:dyDescent="0.2">
      <c r="A153" s="64"/>
      <c r="B153" s="108"/>
      <c r="C153" s="1"/>
      <c r="D153" s="11"/>
      <c r="E153" s="1"/>
      <c r="F153" s="1"/>
      <c r="G153" s="1"/>
      <c r="H153" s="9"/>
      <c r="I153" s="14"/>
      <c r="J153" s="12"/>
      <c r="K153" s="66"/>
      <c r="L153" s="49"/>
      <c r="M153" s="56"/>
      <c r="N153" s="56"/>
      <c r="O153" s="56"/>
      <c r="P153" s="56"/>
    </row>
    <row r="154" spans="1:16" x14ac:dyDescent="0.2">
      <c r="A154" s="64"/>
      <c r="B154" s="108"/>
      <c r="C154" s="1"/>
      <c r="D154" s="11"/>
      <c r="E154" s="1"/>
      <c r="F154" s="1"/>
      <c r="G154" s="1"/>
      <c r="H154" s="9"/>
      <c r="I154" s="14"/>
      <c r="J154" s="12"/>
      <c r="K154" s="66"/>
      <c r="L154" s="49"/>
      <c r="M154" s="56"/>
      <c r="N154" s="56"/>
      <c r="O154" s="56"/>
      <c r="P154" s="56"/>
    </row>
    <row r="155" spans="1:16" x14ac:dyDescent="0.2">
      <c r="A155" s="64"/>
      <c r="B155" s="108"/>
      <c r="C155" s="1"/>
      <c r="D155" s="11"/>
      <c r="E155" s="1"/>
      <c r="F155" s="1"/>
      <c r="G155" s="1"/>
      <c r="H155" s="9"/>
      <c r="I155" s="14"/>
      <c r="J155" s="1"/>
      <c r="K155" s="66"/>
      <c r="L155" s="49"/>
      <c r="M155" s="56"/>
      <c r="N155" s="56"/>
      <c r="O155" s="56"/>
      <c r="P155" s="56"/>
    </row>
    <row r="156" spans="1:16" x14ac:dyDescent="0.2">
      <c r="A156" s="67"/>
      <c r="B156" s="96"/>
      <c r="C156" s="9"/>
      <c r="D156" s="9"/>
      <c r="E156" s="2"/>
      <c r="F156" s="2"/>
      <c r="G156" s="2"/>
      <c r="H156" s="9"/>
      <c r="I156" s="4"/>
      <c r="J156" s="2"/>
      <c r="K156" s="65"/>
      <c r="L156" s="38"/>
      <c r="M156" s="6"/>
      <c r="N156" s="6"/>
      <c r="O156" s="6"/>
      <c r="P156" s="6"/>
    </row>
    <row r="157" spans="1:16" x14ac:dyDescent="0.2">
      <c r="A157" s="67"/>
      <c r="B157" s="96"/>
      <c r="C157" s="9"/>
      <c r="D157" s="9"/>
      <c r="E157" s="2"/>
      <c r="F157" s="2"/>
      <c r="G157" s="2"/>
      <c r="H157" s="9"/>
      <c r="I157" s="13"/>
      <c r="J157" s="9"/>
      <c r="K157" s="65"/>
      <c r="L157" s="38"/>
      <c r="M157" s="6"/>
      <c r="N157" s="6"/>
      <c r="O157" s="6"/>
      <c r="P157" s="6"/>
    </row>
    <row r="158" spans="1:16" x14ac:dyDescent="0.2">
      <c r="A158" s="67"/>
      <c r="B158" s="96"/>
      <c r="C158" s="9"/>
      <c r="D158" s="9"/>
      <c r="E158" s="2"/>
      <c r="F158" s="2"/>
      <c r="G158" s="2"/>
      <c r="H158" s="9"/>
      <c r="I158" s="13"/>
      <c r="J158" s="9"/>
      <c r="K158" s="65"/>
      <c r="L158" s="38"/>
      <c r="M158" s="6"/>
      <c r="N158" s="6"/>
      <c r="O158" s="6"/>
      <c r="P158" s="6"/>
    </row>
    <row r="159" spans="1:16" x14ac:dyDescent="0.2">
      <c r="A159" s="67"/>
      <c r="B159" s="96"/>
      <c r="C159" s="9"/>
      <c r="D159" s="9"/>
      <c r="E159" s="2"/>
      <c r="F159" s="2"/>
      <c r="G159" s="2"/>
      <c r="H159" s="9"/>
      <c r="I159" s="13"/>
      <c r="J159" s="9"/>
      <c r="K159" s="65"/>
      <c r="L159" s="38"/>
      <c r="M159" s="6"/>
      <c r="N159" s="6"/>
      <c r="O159" s="6"/>
      <c r="P159" s="6"/>
    </row>
    <row r="160" spans="1:16" x14ac:dyDescent="0.2">
      <c r="A160" s="67"/>
      <c r="B160" s="96"/>
      <c r="C160" s="9"/>
      <c r="D160" s="9"/>
      <c r="E160" s="2"/>
      <c r="F160" s="2"/>
      <c r="G160" s="2"/>
      <c r="H160" s="9"/>
      <c r="I160" s="13"/>
      <c r="J160" s="9"/>
      <c r="K160" s="65"/>
      <c r="L160" s="38"/>
      <c r="M160" s="6"/>
      <c r="N160" s="6"/>
      <c r="O160" s="6"/>
      <c r="P160" s="6"/>
    </row>
    <row r="161" spans="1:16" x14ac:dyDescent="0.2">
      <c r="A161" s="67"/>
      <c r="B161" s="96"/>
      <c r="C161" s="9"/>
      <c r="D161" s="9"/>
      <c r="E161" s="2"/>
      <c r="F161" s="2"/>
      <c r="G161" s="2"/>
      <c r="H161" s="9"/>
      <c r="I161" s="13"/>
      <c r="J161" s="9"/>
      <c r="K161" s="66"/>
      <c r="L161" s="49"/>
      <c r="M161" s="56"/>
      <c r="N161" s="56"/>
      <c r="O161" s="56"/>
      <c r="P161" s="56"/>
    </row>
    <row r="162" spans="1:16" x14ac:dyDescent="0.2">
      <c r="A162" s="67"/>
      <c r="B162" s="96"/>
      <c r="C162" s="9"/>
      <c r="D162" s="9"/>
      <c r="E162" s="2"/>
      <c r="F162" s="2"/>
      <c r="G162" s="2"/>
      <c r="H162" s="9"/>
      <c r="I162" s="13"/>
      <c r="J162" s="9"/>
      <c r="K162" s="68"/>
      <c r="L162" s="50"/>
      <c r="M162" s="57"/>
      <c r="N162" s="57"/>
      <c r="O162" s="57"/>
      <c r="P162" s="57"/>
    </row>
    <row r="163" spans="1:16" x14ac:dyDescent="0.2">
      <c r="A163" s="67"/>
      <c r="B163" s="96"/>
      <c r="C163" s="9"/>
      <c r="D163" s="9"/>
      <c r="E163" s="2"/>
      <c r="F163" s="2"/>
      <c r="G163" s="2"/>
      <c r="H163" s="9"/>
      <c r="I163" s="13"/>
      <c r="J163" s="9"/>
      <c r="K163" s="68"/>
      <c r="L163" s="50"/>
      <c r="M163" s="57"/>
      <c r="N163" s="57"/>
      <c r="O163" s="57"/>
      <c r="P163" s="57"/>
    </row>
    <row r="164" spans="1:16" x14ac:dyDescent="0.2">
      <c r="A164" s="67"/>
      <c r="B164" s="96"/>
      <c r="C164" s="9"/>
      <c r="D164" s="9"/>
      <c r="E164" s="2"/>
      <c r="F164" s="2"/>
      <c r="G164" s="2"/>
      <c r="H164" s="9"/>
      <c r="I164" s="13"/>
      <c r="J164" s="9"/>
      <c r="K164" s="68"/>
      <c r="L164" s="50"/>
      <c r="M164" s="57"/>
      <c r="N164" s="57"/>
      <c r="O164" s="57"/>
      <c r="P164" s="57"/>
    </row>
    <row r="165" spans="1:16" x14ac:dyDescent="0.2">
      <c r="A165" s="67"/>
      <c r="B165" s="96"/>
      <c r="C165" s="9"/>
      <c r="D165" s="9"/>
      <c r="E165" s="2"/>
      <c r="F165" s="2"/>
      <c r="G165" s="2"/>
      <c r="H165" s="9"/>
      <c r="I165" s="13"/>
      <c r="J165" s="9"/>
      <c r="K165" s="68"/>
      <c r="L165" s="50"/>
      <c r="M165" s="57"/>
      <c r="N165" s="57"/>
      <c r="O165" s="57"/>
      <c r="P165" s="57"/>
    </row>
    <row r="166" spans="1:16" x14ac:dyDescent="0.2">
      <c r="A166" s="67"/>
      <c r="B166" s="96"/>
      <c r="C166" s="9"/>
      <c r="D166" s="9"/>
      <c r="E166" s="17"/>
      <c r="F166" s="17"/>
      <c r="G166" s="17"/>
      <c r="H166" s="9"/>
      <c r="I166" s="13"/>
      <c r="J166" s="9"/>
      <c r="K166" s="68"/>
      <c r="L166" s="50"/>
      <c r="M166" s="57"/>
      <c r="N166" s="57"/>
      <c r="O166" s="57"/>
      <c r="P166" s="57"/>
    </row>
    <row r="167" spans="1:16" x14ac:dyDescent="0.2">
      <c r="A167" s="67"/>
      <c r="B167" s="96"/>
      <c r="C167" s="9"/>
      <c r="D167" s="9"/>
      <c r="E167" s="2"/>
      <c r="F167" s="2"/>
      <c r="G167" s="2"/>
      <c r="H167" s="9"/>
      <c r="I167" s="13"/>
      <c r="J167" s="9"/>
      <c r="K167" s="68"/>
      <c r="L167" s="50"/>
      <c r="M167" s="57"/>
      <c r="N167" s="57"/>
      <c r="O167" s="57"/>
      <c r="P167" s="57"/>
    </row>
    <row r="168" spans="1:16" x14ac:dyDescent="0.2">
      <c r="A168" s="67"/>
      <c r="B168" s="96"/>
      <c r="C168" s="9"/>
      <c r="D168" s="9"/>
      <c r="E168" s="9"/>
      <c r="F168" s="9"/>
      <c r="G168" s="9"/>
      <c r="H168" s="9"/>
      <c r="I168" s="13"/>
      <c r="J168" s="9"/>
      <c r="K168" s="66"/>
      <c r="L168" s="49"/>
      <c r="M168" s="56"/>
      <c r="N168" s="56"/>
      <c r="O168" s="56"/>
      <c r="P168" s="56"/>
    </row>
    <row r="169" spans="1:16" x14ac:dyDescent="0.2">
      <c r="A169" s="67"/>
      <c r="B169" s="96"/>
      <c r="C169" s="9"/>
      <c r="D169" s="9"/>
      <c r="E169" s="9"/>
      <c r="F169" s="9"/>
      <c r="G169" s="9"/>
      <c r="H169" s="9"/>
      <c r="I169" s="13"/>
      <c r="J169" s="9"/>
      <c r="K169" s="66"/>
      <c r="L169" s="49"/>
      <c r="M169" s="56"/>
      <c r="N169" s="56"/>
      <c r="O169" s="56"/>
      <c r="P169" s="56"/>
    </row>
    <row r="170" spans="1:16" x14ac:dyDescent="0.2">
      <c r="A170" s="67"/>
      <c r="B170" s="96"/>
      <c r="C170" s="9"/>
      <c r="D170" s="9"/>
      <c r="E170" s="9"/>
      <c r="F170" s="9"/>
      <c r="G170" s="9"/>
      <c r="H170" s="9"/>
      <c r="I170" s="13"/>
      <c r="J170" s="9"/>
      <c r="K170" s="66"/>
      <c r="L170" s="49"/>
      <c r="M170" s="56"/>
      <c r="N170" s="56"/>
      <c r="O170" s="56"/>
      <c r="P170" s="56"/>
    </row>
    <row r="171" spans="1:16" x14ac:dyDescent="0.2">
      <c r="A171" s="67"/>
      <c r="B171" s="96"/>
      <c r="C171" s="9"/>
      <c r="D171" s="9"/>
      <c r="E171" s="9"/>
      <c r="F171" s="9"/>
      <c r="G171" s="9"/>
      <c r="H171" s="9"/>
      <c r="I171" s="13"/>
      <c r="J171" s="9"/>
      <c r="K171" s="66"/>
      <c r="L171" s="49"/>
      <c r="M171" s="56"/>
      <c r="N171" s="56"/>
      <c r="O171" s="56"/>
      <c r="P171" s="56"/>
    </row>
    <row r="172" spans="1:16" x14ac:dyDescent="0.2">
      <c r="A172" s="67"/>
      <c r="B172" s="96"/>
      <c r="C172" s="9"/>
      <c r="D172" s="9"/>
      <c r="E172" s="9"/>
      <c r="F172" s="9"/>
      <c r="G172" s="9"/>
      <c r="H172" s="9"/>
      <c r="I172" s="13"/>
      <c r="J172" s="9"/>
      <c r="K172" s="66"/>
      <c r="L172" s="49"/>
      <c r="M172" s="56"/>
      <c r="N172" s="56"/>
      <c r="O172" s="56"/>
      <c r="P172" s="56"/>
    </row>
    <row r="173" spans="1:16" x14ac:dyDescent="0.2">
      <c r="A173" s="67"/>
      <c r="B173" s="96"/>
      <c r="C173" s="9"/>
      <c r="D173" s="9"/>
      <c r="E173" s="9"/>
      <c r="F173" s="9"/>
      <c r="G173" s="9"/>
      <c r="H173" s="9"/>
      <c r="I173" s="13"/>
      <c r="J173" s="9"/>
      <c r="K173" s="66"/>
      <c r="L173" s="49"/>
      <c r="M173" s="56"/>
      <c r="N173" s="56"/>
      <c r="O173" s="56"/>
      <c r="P173" s="56"/>
    </row>
    <row r="174" spans="1:16" x14ac:dyDescent="0.2">
      <c r="A174" s="67"/>
      <c r="B174" s="96"/>
      <c r="C174" s="9"/>
      <c r="D174" s="9"/>
      <c r="E174" s="9"/>
      <c r="F174" s="9"/>
      <c r="G174" s="9"/>
      <c r="H174" s="9"/>
      <c r="I174" s="13"/>
      <c r="J174" s="9"/>
      <c r="K174" s="66"/>
      <c r="L174" s="49"/>
      <c r="M174" s="56"/>
      <c r="N174" s="56"/>
      <c r="O174" s="56"/>
      <c r="P174" s="56"/>
    </row>
    <row r="175" spans="1:16" x14ac:dyDescent="0.2">
      <c r="A175" s="67"/>
      <c r="B175" s="96"/>
      <c r="C175" s="9"/>
      <c r="D175" s="9"/>
      <c r="E175" s="9"/>
      <c r="F175" s="9"/>
      <c r="G175" s="9"/>
      <c r="H175" s="9"/>
      <c r="I175" s="13"/>
      <c r="J175" s="9"/>
      <c r="K175" s="66"/>
      <c r="L175" s="49"/>
      <c r="M175" s="56"/>
      <c r="N175" s="56"/>
      <c r="O175" s="56"/>
      <c r="P175" s="56"/>
    </row>
    <row r="176" spans="1:16" x14ac:dyDescent="0.2">
      <c r="A176" s="67"/>
      <c r="B176" s="96"/>
      <c r="C176" s="9"/>
      <c r="D176" s="9"/>
      <c r="E176" s="9"/>
      <c r="F176" s="9"/>
      <c r="G176" s="9"/>
      <c r="H176" s="9"/>
      <c r="I176" s="13"/>
      <c r="J176" s="9"/>
      <c r="K176" s="66"/>
      <c r="L176" s="49"/>
      <c r="M176" s="56"/>
      <c r="N176" s="56"/>
      <c r="O176" s="56"/>
      <c r="P176" s="56"/>
    </row>
    <row r="177" spans="1:16" x14ac:dyDescent="0.2">
      <c r="A177" s="67"/>
      <c r="B177" s="96"/>
      <c r="C177" s="9"/>
      <c r="D177" s="9"/>
      <c r="E177" s="9"/>
      <c r="F177" s="9"/>
      <c r="G177" s="9"/>
      <c r="H177" s="9"/>
      <c r="I177" s="13"/>
      <c r="J177" s="9"/>
      <c r="K177" s="66"/>
      <c r="L177" s="49"/>
      <c r="M177" s="56"/>
      <c r="N177" s="56"/>
      <c r="O177" s="56"/>
      <c r="P177" s="56"/>
    </row>
    <row r="178" spans="1:16" x14ac:dyDescent="0.2">
      <c r="A178" s="67"/>
      <c r="B178" s="96"/>
      <c r="C178" s="9"/>
      <c r="D178" s="9"/>
      <c r="E178" s="9"/>
      <c r="F178" s="9"/>
      <c r="G178" s="9"/>
      <c r="H178" s="9"/>
      <c r="I178" s="13"/>
      <c r="J178" s="9"/>
      <c r="K178" s="66"/>
      <c r="L178" s="49"/>
      <c r="M178" s="56"/>
      <c r="N178" s="56"/>
      <c r="O178" s="56"/>
      <c r="P178" s="56"/>
    </row>
    <row r="179" spans="1:16" x14ac:dyDescent="0.2">
      <c r="A179" s="67"/>
      <c r="B179" s="96"/>
      <c r="C179" s="9"/>
      <c r="D179" s="9"/>
      <c r="E179" s="9"/>
      <c r="F179" s="9"/>
      <c r="G179" s="9"/>
      <c r="H179" s="9"/>
      <c r="I179" s="13"/>
      <c r="J179" s="9"/>
      <c r="K179" s="66"/>
      <c r="L179" s="49"/>
      <c r="M179" s="56"/>
      <c r="N179" s="56"/>
      <c r="O179" s="56"/>
      <c r="P179" s="56"/>
    </row>
    <row r="180" spans="1:16" x14ac:dyDescent="0.2">
      <c r="A180" s="67"/>
      <c r="B180" s="96"/>
      <c r="C180" s="9"/>
      <c r="D180" s="9"/>
      <c r="E180" s="9"/>
      <c r="F180" s="9"/>
      <c r="G180" s="9"/>
      <c r="H180" s="9"/>
      <c r="I180" s="13"/>
      <c r="J180" s="9"/>
      <c r="K180" s="66"/>
      <c r="L180" s="49"/>
      <c r="M180" s="56"/>
      <c r="N180" s="56"/>
      <c r="O180" s="56"/>
      <c r="P180" s="56"/>
    </row>
    <row r="181" spans="1:16" x14ac:dyDescent="0.2">
      <c r="A181" s="67"/>
      <c r="B181" s="96"/>
      <c r="C181" s="9"/>
      <c r="D181" s="9"/>
      <c r="E181" s="9"/>
      <c r="F181" s="9"/>
      <c r="G181" s="9"/>
      <c r="H181" s="9"/>
      <c r="I181" s="13"/>
      <c r="J181" s="9"/>
      <c r="K181" s="66"/>
      <c r="L181" s="49"/>
      <c r="M181" s="56"/>
      <c r="N181" s="56"/>
      <c r="O181" s="56"/>
      <c r="P181" s="56"/>
    </row>
    <row r="182" spans="1:16" x14ac:dyDescent="0.2">
      <c r="A182" s="67"/>
      <c r="B182" s="96"/>
      <c r="C182" s="9"/>
      <c r="D182" s="9"/>
      <c r="E182" s="9"/>
      <c r="F182" s="9"/>
      <c r="G182" s="9"/>
      <c r="H182" s="9"/>
      <c r="I182" s="13"/>
      <c r="J182" s="9"/>
      <c r="K182" s="66"/>
      <c r="L182" s="49"/>
      <c r="M182" s="56"/>
      <c r="N182" s="56"/>
      <c r="O182" s="56"/>
      <c r="P182" s="56"/>
    </row>
    <row r="183" spans="1:16" ht="12.75" customHeight="1" x14ac:dyDescent="0.2">
      <c r="A183" s="67"/>
      <c r="B183" s="96"/>
      <c r="C183" s="9"/>
      <c r="D183" s="9"/>
      <c r="E183" s="9"/>
      <c r="F183" s="9"/>
      <c r="G183" s="9"/>
      <c r="H183" s="9"/>
      <c r="I183" s="13"/>
      <c r="J183" s="9"/>
      <c r="K183" s="66"/>
      <c r="L183" s="49"/>
      <c r="M183" s="56"/>
      <c r="N183" s="56"/>
      <c r="O183" s="56"/>
      <c r="P183" s="56"/>
    </row>
    <row r="184" spans="1:16" ht="12.75" customHeight="1" x14ac:dyDescent="0.2">
      <c r="A184" s="67"/>
      <c r="B184" s="96"/>
      <c r="C184" s="9"/>
      <c r="D184" s="9"/>
      <c r="E184" s="9"/>
      <c r="F184" s="9"/>
      <c r="G184" s="9"/>
      <c r="H184" s="9"/>
      <c r="I184" s="13"/>
      <c r="J184" s="9"/>
      <c r="K184" s="66"/>
      <c r="L184" s="49"/>
      <c r="M184" s="56"/>
      <c r="N184" s="56"/>
      <c r="O184" s="56"/>
      <c r="P184" s="56"/>
    </row>
    <row r="185" spans="1:16" ht="12.75" customHeight="1" x14ac:dyDescent="0.2">
      <c r="A185" s="67"/>
      <c r="B185" s="96"/>
      <c r="C185" s="9"/>
      <c r="D185" s="9"/>
      <c r="E185" s="9"/>
      <c r="F185" s="9"/>
      <c r="G185" s="9"/>
      <c r="H185" s="9"/>
      <c r="I185" s="13"/>
      <c r="J185" s="9"/>
      <c r="K185" s="66"/>
      <c r="L185" s="49"/>
      <c r="M185" s="56"/>
      <c r="N185" s="56"/>
      <c r="O185" s="56"/>
      <c r="P185" s="56"/>
    </row>
    <row r="186" spans="1:16" x14ac:dyDescent="0.2">
      <c r="A186" s="67"/>
      <c r="B186" s="96"/>
      <c r="C186" s="9"/>
      <c r="D186" s="9"/>
      <c r="E186" s="9"/>
      <c r="F186" s="9"/>
      <c r="G186" s="9"/>
      <c r="H186" s="9"/>
      <c r="I186" s="13"/>
      <c r="J186" s="9"/>
      <c r="K186" s="66"/>
      <c r="L186" s="49"/>
      <c r="M186" s="56"/>
      <c r="N186" s="56"/>
      <c r="O186" s="56"/>
      <c r="P186" s="56"/>
    </row>
    <row r="187" spans="1:16" x14ac:dyDescent="0.2">
      <c r="A187" s="67"/>
      <c r="B187" s="96"/>
      <c r="C187" s="9"/>
      <c r="D187" s="9"/>
      <c r="E187" s="9"/>
      <c r="F187" s="9"/>
      <c r="G187" s="9"/>
      <c r="H187" s="9"/>
      <c r="I187" s="13"/>
      <c r="J187" s="9"/>
      <c r="K187" s="66"/>
      <c r="L187" s="49"/>
      <c r="M187" s="56"/>
      <c r="N187" s="56"/>
      <c r="O187" s="56"/>
      <c r="P187" s="56"/>
    </row>
    <row r="188" spans="1:16" x14ac:dyDescent="0.2">
      <c r="A188" s="67"/>
      <c r="B188" s="96"/>
      <c r="C188" s="9"/>
      <c r="D188" s="9"/>
      <c r="E188" s="9"/>
      <c r="F188" s="9"/>
      <c r="G188" s="9"/>
      <c r="H188" s="9"/>
      <c r="I188" s="13"/>
      <c r="J188" s="9"/>
      <c r="K188" s="66"/>
      <c r="L188" s="49"/>
      <c r="M188" s="56"/>
      <c r="N188" s="56"/>
      <c r="O188" s="56"/>
      <c r="P188" s="56"/>
    </row>
    <row r="189" spans="1:16" x14ac:dyDescent="0.2">
      <c r="A189" s="67"/>
      <c r="B189" s="96"/>
      <c r="C189" s="9"/>
      <c r="D189" s="9"/>
      <c r="E189" s="9"/>
      <c r="F189" s="9"/>
      <c r="G189" s="9"/>
      <c r="H189" s="9"/>
      <c r="I189" s="13"/>
      <c r="J189" s="9"/>
      <c r="K189" s="66"/>
      <c r="L189" s="49"/>
      <c r="M189" s="56"/>
      <c r="N189" s="56"/>
      <c r="O189" s="56"/>
      <c r="P189" s="56"/>
    </row>
    <row r="190" spans="1:16" x14ac:dyDescent="0.2">
      <c r="A190" s="67"/>
      <c r="B190" s="96"/>
      <c r="C190" s="9"/>
      <c r="D190" s="9"/>
      <c r="E190" s="9"/>
      <c r="F190" s="9"/>
      <c r="G190" s="9"/>
      <c r="H190" s="9"/>
      <c r="I190" s="13"/>
      <c r="J190" s="9"/>
      <c r="K190" s="66"/>
      <c r="L190" s="49"/>
      <c r="M190" s="56"/>
      <c r="N190" s="56"/>
      <c r="O190" s="56"/>
      <c r="P190" s="56"/>
    </row>
    <row r="191" spans="1:16" x14ac:dyDescent="0.2">
      <c r="A191" s="67"/>
      <c r="B191" s="96"/>
      <c r="C191" s="9"/>
      <c r="D191" s="9"/>
      <c r="E191" s="9"/>
      <c r="F191" s="9"/>
      <c r="G191" s="9"/>
      <c r="H191" s="9"/>
      <c r="I191" s="13"/>
      <c r="J191" s="9"/>
      <c r="K191" s="66"/>
      <c r="L191" s="49"/>
      <c r="M191" s="56"/>
      <c r="N191" s="56"/>
      <c r="O191" s="56"/>
      <c r="P191" s="56"/>
    </row>
    <row r="192" spans="1:16" x14ac:dyDescent="0.2">
      <c r="A192" s="67"/>
      <c r="B192" s="96"/>
      <c r="C192" s="9"/>
      <c r="D192" s="9"/>
      <c r="E192" s="9"/>
      <c r="F192" s="9"/>
      <c r="G192" s="9"/>
      <c r="H192" s="9"/>
      <c r="I192" s="13"/>
      <c r="J192" s="9"/>
      <c r="K192" s="66"/>
      <c r="L192" s="49"/>
      <c r="M192" s="56"/>
      <c r="N192" s="56"/>
      <c r="O192" s="56"/>
      <c r="P192" s="56"/>
    </row>
    <row r="193" spans="1:16" x14ac:dyDescent="0.2">
      <c r="A193" s="67"/>
      <c r="B193" s="96"/>
      <c r="C193" s="9"/>
      <c r="D193" s="9"/>
      <c r="E193" s="9"/>
      <c r="F193" s="9"/>
      <c r="G193" s="9"/>
      <c r="H193" s="9"/>
      <c r="I193" s="13"/>
      <c r="J193" s="9"/>
      <c r="K193" s="66"/>
      <c r="L193" s="49"/>
      <c r="M193" s="56"/>
      <c r="N193" s="56"/>
      <c r="O193" s="56"/>
      <c r="P193" s="56"/>
    </row>
    <row r="194" spans="1:16" x14ac:dyDescent="0.2">
      <c r="A194" s="67"/>
      <c r="B194" s="96"/>
      <c r="C194" s="9"/>
      <c r="D194" s="9"/>
      <c r="E194" s="9"/>
      <c r="F194" s="9"/>
      <c r="G194" s="9"/>
      <c r="H194" s="9"/>
      <c r="I194" s="13"/>
      <c r="J194" s="9"/>
      <c r="K194" s="66"/>
      <c r="L194" s="49"/>
      <c r="M194" s="56"/>
      <c r="N194" s="56"/>
      <c r="O194" s="56"/>
      <c r="P194" s="56"/>
    </row>
    <row r="195" spans="1:16" x14ac:dyDescent="0.2">
      <c r="A195" s="67"/>
      <c r="B195" s="96"/>
      <c r="C195" s="9"/>
      <c r="D195" s="9"/>
      <c r="E195" s="9"/>
      <c r="F195" s="9"/>
      <c r="G195" s="9"/>
      <c r="H195" s="9"/>
      <c r="I195" s="13"/>
      <c r="J195" s="9"/>
      <c r="K195" s="66"/>
      <c r="L195" s="49"/>
      <c r="M195" s="56"/>
      <c r="N195" s="56"/>
      <c r="O195" s="56"/>
      <c r="P195" s="56"/>
    </row>
    <row r="196" spans="1:16" x14ac:dyDescent="0.2">
      <c r="A196" s="67"/>
      <c r="B196" s="96"/>
      <c r="C196" s="9"/>
      <c r="D196" s="9"/>
      <c r="E196" s="9"/>
      <c r="F196" s="9"/>
      <c r="G196" s="9"/>
      <c r="H196" s="9"/>
      <c r="I196" s="13"/>
      <c r="J196" s="9"/>
      <c r="K196" s="66"/>
      <c r="L196" s="49"/>
      <c r="M196" s="56"/>
      <c r="N196" s="56"/>
      <c r="O196" s="56"/>
      <c r="P196" s="56"/>
    </row>
    <row r="197" spans="1:16" x14ac:dyDescent="0.2">
      <c r="A197" s="67"/>
      <c r="B197" s="96"/>
      <c r="C197" s="9"/>
      <c r="D197" s="9"/>
      <c r="E197" s="9"/>
      <c r="F197" s="9"/>
      <c r="G197" s="9"/>
      <c r="H197" s="9"/>
      <c r="I197" s="13"/>
      <c r="J197" s="9"/>
      <c r="K197" s="66"/>
      <c r="L197" s="49"/>
      <c r="M197" s="56"/>
      <c r="N197" s="56"/>
      <c r="O197" s="56"/>
      <c r="P197" s="56"/>
    </row>
    <row r="198" spans="1:16" x14ac:dyDescent="0.2">
      <c r="A198" s="67"/>
      <c r="B198" s="96"/>
      <c r="C198" s="9"/>
      <c r="D198" s="9"/>
      <c r="E198" s="9"/>
      <c r="F198" s="9"/>
      <c r="G198" s="9"/>
      <c r="H198" s="9"/>
      <c r="I198" s="13"/>
      <c r="J198" s="9"/>
      <c r="K198" s="66"/>
      <c r="L198" s="49"/>
      <c r="M198" s="56"/>
      <c r="N198" s="56"/>
      <c r="O198" s="56"/>
      <c r="P198" s="56"/>
    </row>
    <row r="199" spans="1:16" x14ac:dyDescent="0.2">
      <c r="A199" s="67"/>
      <c r="B199" s="96"/>
      <c r="C199" s="9"/>
      <c r="D199" s="9"/>
      <c r="E199" s="9"/>
      <c r="F199" s="9"/>
      <c r="G199" s="9"/>
      <c r="H199" s="9"/>
      <c r="I199" s="13"/>
      <c r="J199" s="9"/>
      <c r="K199" s="66"/>
      <c r="L199" s="49"/>
      <c r="M199" s="56"/>
      <c r="N199" s="56"/>
      <c r="O199" s="56"/>
      <c r="P199" s="56"/>
    </row>
    <row r="200" spans="1:16" x14ac:dyDescent="0.2">
      <c r="A200" s="67"/>
      <c r="B200" s="96"/>
      <c r="C200" s="9"/>
      <c r="D200" s="9"/>
      <c r="E200" s="9"/>
      <c r="F200" s="9"/>
      <c r="G200" s="9"/>
      <c r="H200" s="9"/>
      <c r="I200" s="13"/>
      <c r="J200" s="9"/>
      <c r="K200" s="66"/>
      <c r="L200" s="49"/>
      <c r="M200" s="56"/>
      <c r="N200" s="56"/>
      <c r="O200" s="56"/>
      <c r="P200" s="56"/>
    </row>
    <row r="201" spans="1:16" x14ac:dyDescent="0.2">
      <c r="A201" s="67"/>
      <c r="B201" s="96"/>
      <c r="C201" s="9"/>
      <c r="D201" s="9"/>
      <c r="E201" s="9"/>
      <c r="F201" s="9"/>
      <c r="G201" s="9"/>
      <c r="H201" s="9"/>
      <c r="I201" s="13"/>
      <c r="J201" s="9"/>
      <c r="K201" s="66"/>
      <c r="L201" s="49"/>
      <c r="M201" s="56"/>
      <c r="N201" s="56"/>
      <c r="O201" s="56"/>
      <c r="P201" s="56"/>
    </row>
    <row r="202" spans="1:16" x14ac:dyDescent="0.2">
      <c r="A202" s="67"/>
      <c r="B202" s="96"/>
      <c r="C202" s="9"/>
      <c r="D202" s="9"/>
      <c r="E202" s="9"/>
      <c r="F202" s="9"/>
      <c r="G202" s="9"/>
      <c r="H202" s="9"/>
      <c r="I202" s="13"/>
      <c r="J202" s="9"/>
      <c r="K202" s="66"/>
      <c r="L202" s="49"/>
      <c r="M202" s="56"/>
      <c r="N202" s="56"/>
      <c r="O202" s="56"/>
      <c r="P202" s="56"/>
    </row>
    <row r="203" spans="1:16" x14ac:dyDescent="0.2">
      <c r="A203" s="67"/>
      <c r="B203" s="96"/>
      <c r="C203" s="9"/>
      <c r="D203" s="9"/>
      <c r="E203" s="9"/>
      <c r="F203" s="9"/>
      <c r="G203" s="9"/>
      <c r="H203" s="9"/>
      <c r="I203" s="13"/>
      <c r="J203" s="9"/>
      <c r="K203" s="66"/>
      <c r="L203" s="49"/>
      <c r="M203" s="56"/>
      <c r="N203" s="56"/>
      <c r="O203" s="56"/>
      <c r="P203" s="56"/>
    </row>
    <row r="204" spans="1:16" x14ac:dyDescent="0.2">
      <c r="A204" s="67"/>
      <c r="B204" s="96"/>
      <c r="C204" s="9"/>
      <c r="D204" s="9"/>
      <c r="E204" s="9"/>
      <c r="F204" s="9"/>
      <c r="G204" s="9"/>
      <c r="H204" s="9"/>
      <c r="I204" s="13"/>
      <c r="J204" s="9"/>
      <c r="K204" s="66"/>
      <c r="L204" s="49"/>
      <c r="M204" s="56"/>
      <c r="N204" s="56"/>
      <c r="O204" s="58"/>
      <c r="P204" s="58"/>
    </row>
    <row r="205" spans="1:16" x14ac:dyDescent="0.2">
      <c r="A205" s="67"/>
      <c r="B205" s="96"/>
      <c r="C205" s="9"/>
      <c r="D205" s="9"/>
      <c r="E205" s="9"/>
      <c r="F205" s="9"/>
      <c r="G205" s="9"/>
      <c r="H205" s="9"/>
      <c r="I205" s="13"/>
      <c r="J205" s="9"/>
      <c r="K205" s="66"/>
      <c r="L205" s="49"/>
      <c r="M205" s="56"/>
      <c r="N205" s="56"/>
      <c r="O205" s="58"/>
      <c r="P205" s="58"/>
    </row>
    <row r="206" spans="1:16" x14ac:dyDescent="0.2">
      <c r="A206" s="67"/>
      <c r="B206" s="96"/>
      <c r="C206" s="9"/>
      <c r="D206" s="9"/>
      <c r="E206" s="9"/>
      <c r="F206" s="9"/>
      <c r="G206" s="9"/>
      <c r="H206" s="9"/>
      <c r="I206" s="13"/>
      <c r="J206" s="9"/>
      <c r="K206" s="66"/>
      <c r="L206" s="49"/>
      <c r="M206" s="56"/>
      <c r="N206" s="56"/>
      <c r="O206" s="58"/>
      <c r="P206" s="58"/>
    </row>
    <row r="207" spans="1:16" x14ac:dyDescent="0.2">
      <c r="A207" s="67"/>
      <c r="B207" s="96"/>
      <c r="C207" s="9"/>
      <c r="D207" s="9"/>
      <c r="E207" s="9"/>
      <c r="F207" s="9"/>
      <c r="G207" s="9"/>
      <c r="H207" s="9"/>
      <c r="I207" s="13"/>
      <c r="J207" s="9"/>
      <c r="K207" s="66"/>
      <c r="L207" s="49"/>
      <c r="M207" s="56"/>
      <c r="N207" s="56"/>
      <c r="O207" s="58"/>
      <c r="P207" s="58"/>
    </row>
    <row r="208" spans="1:16" x14ac:dyDescent="0.2">
      <c r="A208" s="67"/>
      <c r="B208" s="96"/>
      <c r="C208" s="9"/>
      <c r="D208" s="9"/>
      <c r="E208" s="9"/>
      <c r="F208" s="9"/>
      <c r="G208" s="9"/>
      <c r="H208" s="9"/>
      <c r="I208" s="13"/>
      <c r="J208" s="9"/>
      <c r="K208" s="66"/>
      <c r="L208" s="49"/>
      <c r="M208" s="56"/>
      <c r="N208" s="56"/>
      <c r="O208" s="58"/>
      <c r="P208" s="58"/>
    </row>
    <row r="209" spans="1:16" x14ac:dyDescent="0.2">
      <c r="A209" s="67"/>
      <c r="B209" s="96"/>
      <c r="C209" s="9"/>
      <c r="D209" s="9"/>
      <c r="E209" s="9"/>
      <c r="F209" s="9"/>
      <c r="G209" s="9"/>
      <c r="H209" s="9"/>
      <c r="I209" s="13"/>
      <c r="J209" s="9"/>
      <c r="K209" s="66"/>
      <c r="L209" s="49"/>
      <c r="M209" s="56"/>
      <c r="N209" s="56"/>
      <c r="O209" s="58"/>
      <c r="P209" s="58"/>
    </row>
    <row r="210" spans="1:16" x14ac:dyDescent="0.2">
      <c r="A210" s="67"/>
      <c r="B210" s="96"/>
      <c r="C210" s="9"/>
      <c r="D210" s="9"/>
      <c r="E210" s="9"/>
      <c r="F210" s="9"/>
      <c r="G210" s="9"/>
      <c r="H210" s="9"/>
      <c r="I210" s="13"/>
      <c r="J210" s="9"/>
      <c r="K210" s="66"/>
      <c r="L210" s="49"/>
      <c r="M210" s="56"/>
      <c r="N210" s="56"/>
      <c r="O210" s="58"/>
      <c r="P210" s="58"/>
    </row>
    <row r="211" spans="1:16" x14ac:dyDescent="0.2">
      <c r="A211" s="67"/>
      <c r="B211" s="96"/>
      <c r="C211" s="9"/>
      <c r="D211" s="9"/>
      <c r="E211" s="9"/>
      <c r="F211" s="9"/>
      <c r="G211" s="9"/>
      <c r="H211" s="9"/>
      <c r="I211" s="13"/>
      <c r="J211" s="9"/>
      <c r="K211" s="66"/>
      <c r="L211" s="49"/>
      <c r="M211" s="56"/>
      <c r="N211" s="56"/>
      <c r="O211" s="58"/>
      <c r="P211" s="58"/>
    </row>
    <row r="212" spans="1:16" x14ac:dyDescent="0.2">
      <c r="A212" s="67"/>
      <c r="B212" s="96"/>
      <c r="C212" s="9"/>
      <c r="D212" s="9"/>
      <c r="E212" s="9"/>
      <c r="F212" s="9"/>
      <c r="G212" s="9"/>
      <c r="H212" s="9"/>
      <c r="I212" s="13"/>
      <c r="J212" s="9"/>
      <c r="K212" s="66"/>
      <c r="L212" s="49"/>
      <c r="M212" s="56"/>
      <c r="N212" s="56"/>
      <c r="O212" s="58"/>
      <c r="P212" s="58"/>
    </row>
    <row r="213" spans="1:16" ht="13.5" thickBot="1" x14ac:dyDescent="0.25">
      <c r="A213" s="69"/>
      <c r="B213" s="109"/>
      <c r="C213" s="70"/>
      <c r="D213" s="70"/>
      <c r="E213" s="70"/>
      <c r="F213" s="70"/>
      <c r="G213" s="70"/>
      <c r="H213" s="70"/>
      <c r="I213" s="71"/>
      <c r="J213" s="70"/>
      <c r="K213" s="72"/>
      <c r="L213" s="49"/>
      <c r="M213" s="56"/>
      <c r="N213" s="56"/>
      <c r="O213" s="58"/>
      <c r="P213" s="58"/>
    </row>
  </sheetData>
  <autoFilter ref="A17:WWB18"/>
  <mergeCells count="1">
    <mergeCell ref="H16:K16"/>
  </mergeCells>
  <conditionalFormatting sqref="H16:I16">
    <cfRule type="cellIs" dxfId="1" priority="1" stopIfTrue="1" operator="notEqual">
      <formula>""</formula>
    </cfRule>
  </conditionalFormatting>
  <conditionalFormatting sqref="D12">
    <cfRule type="cellIs" dxfId="0" priority="2" stopIfTrue="1" operator="equal">
      <formula>"Explanation"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3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ADF PADC No Charge</vt:lpstr>
      <vt:lpstr>ADF ELM NO CHARGE</vt:lpstr>
      <vt:lpstr>ADF SC NO CHARGE</vt:lpstr>
    </vt:vector>
  </TitlesOfParts>
  <Company>ESTEE LAUDER COMPANIES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GCCS</dc:creator>
  <cp:keywords>Sale-a-Bration</cp:keywords>
  <cp:lastModifiedBy>Villejoint, Kamal</cp:lastModifiedBy>
  <cp:lastPrinted>2017-07-10T14:27:19Z</cp:lastPrinted>
  <dcterms:created xsi:type="dcterms:W3CDTF">2017-04-24T15:40:17Z</dcterms:created>
  <dcterms:modified xsi:type="dcterms:W3CDTF">2017-10-20T19:26:26Z</dcterms:modified>
</cp:coreProperties>
</file>